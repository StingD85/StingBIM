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EP_Template_Development\01_EXCEL_TEMPLATES\"/>
    </mc:Choice>
  </mc:AlternateContent>
  <xr:revisionPtr revIDLastSave="0" documentId="13_ncr:1_{698D5DDC-08BD-41B6-B610-A5ECD9C64B4A}" xr6:coauthVersionLast="47" xr6:coauthVersionMax="47" xr10:uidLastSave="{00000000-0000-0000-0000-000000000000}"/>
  <bookViews>
    <workbookView xWindow="-120" yWindow="-120" windowWidth="29040" windowHeight="15720" tabRatio="858" xr2:uid="{00000000-000D-0000-FFFF-FFFF00000000}"/>
  </bookViews>
  <sheets>
    <sheet name="CALCULATIONS" sheetId="1" r:id="rId1"/>
    <sheet name="CODES" sheetId="8" r:id="rId2"/>
  </sheets>
  <calcPr calcId="181029"/>
</workbook>
</file>

<file path=xl/calcChain.xml><?xml version="1.0" encoding="utf-8"?>
<calcChain xmlns="http://schemas.openxmlformats.org/spreadsheetml/2006/main">
  <c r="B135" i="1" l="1"/>
  <c r="B136" i="1"/>
  <c r="B137" i="1"/>
  <c r="B139" i="1"/>
  <c r="B122" i="1"/>
  <c r="E122" i="1"/>
  <c r="B123" i="1"/>
  <c r="B124" i="1"/>
  <c r="E124" i="1"/>
  <c r="B108" i="1"/>
  <c r="E108" i="1"/>
  <c r="B109" i="1"/>
  <c r="B110" i="1"/>
  <c r="E110" i="1"/>
  <c r="E91" i="1"/>
  <c r="E92" i="1" s="1"/>
  <c r="E93" i="1" s="1"/>
  <c r="B92" i="1"/>
  <c r="B93" i="1"/>
  <c r="D60" i="1"/>
  <c r="F60" i="1" s="1"/>
  <c r="D61" i="1"/>
  <c r="F61" i="1"/>
  <c r="D62" i="1"/>
  <c r="F62" i="1" s="1"/>
  <c r="D63" i="1"/>
  <c r="F63" i="1"/>
  <c r="D64" i="1"/>
  <c r="F64" i="1" s="1"/>
  <c r="D65" i="1"/>
  <c r="F65" i="1"/>
  <c r="D66" i="1"/>
  <c r="F66" i="1"/>
  <c r="D67" i="1"/>
  <c r="F67" i="1"/>
  <c r="D68" i="1"/>
  <c r="F68" i="1" s="1"/>
  <c r="D69" i="1"/>
  <c r="F69" i="1"/>
  <c r="B10" i="1"/>
  <c r="B41" i="1" s="1"/>
  <c r="B45" i="1" s="1"/>
  <c r="B46" i="1" s="1"/>
  <c r="B48" i="1" s="1"/>
  <c r="E9" i="1"/>
  <c r="B94" i="1" l="1"/>
  <c r="B95" i="1" s="1"/>
  <c r="F72" i="1"/>
  <c r="D71" i="1"/>
  <c r="E10" i="1"/>
  <c r="B32" i="1"/>
  <c r="B33" i="1"/>
  <c r="F73" i="1" l="1"/>
  <c r="B76" i="1"/>
  <c r="B78" i="1" s="1"/>
  <c r="B80" i="1" s="1"/>
</calcChain>
</file>

<file path=xl/sharedStrings.xml><?xml version="1.0" encoding="utf-8"?>
<sst xmlns="http://schemas.openxmlformats.org/spreadsheetml/2006/main" count="2538" uniqueCount="1970">
  <si>
    <t>CABLE CURRENT RATINGS &amp; SELECTION - IEC 60364 / BS 7671</t>
  </si>
  <si>
    <t>CABLE SIZING CALCULATOR</t>
  </si>
  <si>
    <t>LOAD PARAMETERS</t>
  </si>
  <si>
    <t>DERATING FACTORS</t>
  </si>
  <si>
    <t>Load Power (kW):</t>
  </si>
  <si>
    <t>Ambient Temp (°C):</t>
  </si>
  <si>
    <t>Voltage (V):</t>
  </si>
  <si>
    <t>Grouping Factor:</t>
  </si>
  <si>
    <t>Power Factor:</t>
  </si>
  <si>
    <t>Installation Method:</t>
  </si>
  <si>
    <t>Method C</t>
  </si>
  <si>
    <t>Circuit Type:</t>
  </si>
  <si>
    <t>3-Phase</t>
  </si>
  <si>
    <t>Total Derating:</t>
  </si>
  <si>
    <t>Load Current (A):</t>
  </si>
  <si>
    <t>Design Current (A):</t>
  </si>
  <si>
    <t>CABLE CURRENT RATINGS (PVC/XLPE)</t>
  </si>
  <si>
    <t>Size (mm²)</t>
  </si>
  <si>
    <t>Method A</t>
  </si>
  <si>
    <t>Method B</t>
  </si>
  <si>
    <t>Method D</t>
  </si>
  <si>
    <t>Method E</t>
  </si>
  <si>
    <t>Typical CB (A)</t>
  </si>
  <si>
    <t>SELECTED CABLE SIZE</t>
  </si>
  <si>
    <t>Required Size (mm²):</t>
  </si>
  <si>
    <t>Circuit Breaker (A):</t>
  </si>
  <si>
    <t>VOLTAGE DROP CALCULATIONS</t>
  </si>
  <si>
    <t>VOLTAGE DROP CALCULATOR</t>
  </si>
  <si>
    <t>VOLTAGE DROP VALUES (mV/A/m)</t>
  </si>
  <si>
    <t>Cable Size</t>
  </si>
  <si>
    <t>Single Phase</t>
  </si>
  <si>
    <t>Cable Length (m):</t>
  </si>
  <si>
    <t>Cable Size (mm²):</t>
  </si>
  <si>
    <t>System Voltage (V):</t>
  </si>
  <si>
    <t>mV/A/m (from table):</t>
  </si>
  <si>
    <t>Voltage Drop (V):</t>
  </si>
  <si>
    <t>Voltage Drop (%):</t>
  </si>
  <si>
    <t>Max Allowed (%):</t>
  </si>
  <si>
    <t>Status:</t>
  </si>
  <si>
    <t>ELECTRICAL LOAD ESTIMATION &amp; DIVERSITY</t>
  </si>
  <si>
    <t>LOAD SCHEDULE</t>
  </si>
  <si>
    <t>Load Description</t>
  </si>
  <si>
    <t>Qty</t>
  </si>
  <si>
    <t>Unit Load (kW)</t>
  </si>
  <si>
    <t>Total Load (kW)</t>
  </si>
  <si>
    <t>Diversity Factor</t>
  </si>
  <si>
    <t>Diversified Load (kW)</t>
  </si>
  <si>
    <t>Lighting - Office</t>
  </si>
  <si>
    <t>Lighting - Corridor</t>
  </si>
  <si>
    <t>Socket Outlets</t>
  </si>
  <si>
    <t>Air Conditioning</t>
  </si>
  <si>
    <t>Computers</t>
  </si>
  <si>
    <t>Printers</t>
  </si>
  <si>
    <t>Water Heaters</t>
  </si>
  <si>
    <t>Elevators</t>
  </si>
  <si>
    <t>Water Pumps</t>
  </si>
  <si>
    <t>Kitchen Equipment</t>
  </si>
  <si>
    <t>TOTAL CONNECTED LOAD (kW):</t>
  </si>
  <si>
    <t>MAXIMUM DEMAND (kW):</t>
  </si>
  <si>
    <t>OVERALL DIVERSITY FACTOR:</t>
  </si>
  <si>
    <t>GENERATOR SIZING</t>
  </si>
  <si>
    <t>Maximum Demand (kW):</t>
  </si>
  <si>
    <t>Generator kVA:</t>
  </si>
  <si>
    <t>Safety Factor:</t>
  </si>
  <si>
    <t>Selected Generator (kVA):</t>
  </si>
  <si>
    <t>POWER FACTOR CORRECTION CALCULATIONS</t>
  </si>
  <si>
    <t>POWER FACTOR CORRECTION</t>
  </si>
  <si>
    <t>COST SAVINGS ANALYSIS</t>
  </si>
  <si>
    <t>Active Power (kW):</t>
  </si>
  <si>
    <t>Monthly Energy (kWh):</t>
  </si>
  <si>
    <t>Current PF:</t>
  </si>
  <si>
    <t>Energy Rate (UGX/kWh):</t>
  </si>
  <si>
    <t>Target PF:</t>
  </si>
  <si>
    <t>PF Penalty (%):</t>
  </si>
  <si>
    <t>Current Reactive Power (kVAr):</t>
  </si>
  <si>
    <t>Monthly Penalty (UGX):</t>
  </si>
  <si>
    <t>Target Reactive Power (kVAr):</t>
  </si>
  <si>
    <t>Annual Savings (UGX):</t>
  </si>
  <si>
    <t>Capacitor Bank Required (kVAr):</t>
  </si>
  <si>
    <t>Standard Bank Size (kVAr):</t>
  </si>
  <si>
    <t>ELECTRICAL PROTECTION &amp; COORDINATION</t>
  </si>
  <si>
    <t>SHORT CIRCUIT CALCULATIONS</t>
  </si>
  <si>
    <t>EARTHING SYSTEM DESIGN</t>
  </si>
  <si>
    <t>Transformer Rating (kVA):</t>
  </si>
  <si>
    <t>Soil Resistivity (Ω·m):</t>
  </si>
  <si>
    <t>Impedance (%):</t>
  </si>
  <si>
    <t>Rod Length (m):</t>
  </si>
  <si>
    <t>Secondary Voltage (V):</t>
  </si>
  <si>
    <t>Rod Diameter (mm):</t>
  </si>
  <si>
    <t>Full Load Current (A):</t>
  </si>
  <si>
    <t>Single Rod Resistance (Ω):</t>
  </si>
  <si>
    <t>Short Circuit Current (kA):</t>
  </si>
  <si>
    <t>Target Resistance (Ω):</t>
  </si>
  <si>
    <t>Breaking Capacity Required:</t>
  </si>
  <si>
    <t>Rods Required:</t>
  </si>
  <si>
    <t>SOLAR PV SYSTEM SIZING</t>
  </si>
  <si>
    <t>SOLAR SYSTEM CALCULATOR</t>
  </si>
  <si>
    <t>BATTERY BANK SIZING</t>
  </si>
  <si>
    <t>Daily Energy Requirement (kWh):</t>
  </si>
  <si>
    <t>Days of Autonomy:</t>
  </si>
  <si>
    <t>Peak Sun Hours:</t>
  </si>
  <si>
    <t>Battery Voltage (V):</t>
  </si>
  <si>
    <t>System Efficiency (%):</t>
  </si>
  <si>
    <t>Depth of Discharge (%):</t>
  </si>
  <si>
    <t>Panel Wattage (W):</t>
  </si>
  <si>
    <t>Battery Efficiency (%):</t>
  </si>
  <si>
    <t>Required PV Power (kW):</t>
  </si>
  <si>
    <t>Battery Capacity (Ah):</t>
  </si>
  <si>
    <t>Number of Panels:</t>
  </si>
  <si>
    <t>Battery Rating (Ah):</t>
  </si>
  <si>
    <t>Total Array Power (kW):</t>
  </si>
  <si>
    <t>Batteries Required:</t>
  </si>
  <si>
    <t>UPS SYSTEM SIZING &amp; BATTERY CALCULATIONS</t>
  </si>
  <si>
    <t>UPS SIZING CALCULATOR</t>
  </si>
  <si>
    <t>Critical Load (kW):</t>
  </si>
  <si>
    <t>Backup Time (min):</t>
  </si>
  <si>
    <t>UPS Efficiency (%):</t>
  </si>
  <si>
    <t>UPS Rating (kVA):</t>
  </si>
  <si>
    <t>Battery Power (kW):</t>
  </si>
  <si>
    <t>Battery Energy (kWh):</t>
  </si>
  <si>
    <t>Battery Bank Voltage (V):</t>
  </si>
  <si>
    <t>UGANDA ELECTRICAL STANDARDS - CABLES, RATINGS &amp; PROTECTION</t>
  </si>
  <si>
    <t>CABLE CURRENT RATINGS - IEC 60364 / BS 7671</t>
  </si>
  <si>
    <t>Cable Size (mm²)</t>
  </si>
  <si>
    <t>Installation Method A</t>
  </si>
  <si>
    <t>Installation Method B</t>
  </si>
  <si>
    <t>Installation Method C</t>
  </si>
  <si>
    <t>Installation Method D</t>
  </si>
  <si>
    <t>Installation Method E</t>
  </si>
  <si>
    <t>Typical CB Size (A)</t>
  </si>
  <si>
    <t>Notes</t>
  </si>
  <si>
    <t>10-13</t>
  </si>
  <si>
    <t>Min size for fixed wiring</t>
  </si>
  <si>
    <t>16</t>
  </si>
  <si>
    <t>Standard power circuits</t>
  </si>
  <si>
    <t>20</t>
  </si>
  <si>
    <t>Heavy duty power</t>
  </si>
  <si>
    <t>25</t>
  </si>
  <si>
    <t>Small equipment</t>
  </si>
  <si>
    <t>32</t>
  </si>
  <si>
    <t>Standard sub-mains</t>
  </si>
  <si>
    <t>40-50</t>
  </si>
  <si>
    <t>Large equipment</t>
  </si>
  <si>
    <t>63</t>
  </si>
  <si>
    <t>Sub-distribution</t>
  </si>
  <si>
    <t>80</t>
  </si>
  <si>
    <t>Main distribution</t>
  </si>
  <si>
    <t>80-100</t>
  </si>
  <si>
    <t>Heavy sub-mains</t>
  </si>
  <si>
    <t>100-125</t>
  </si>
  <si>
    <t>Large sub-mains</t>
  </si>
  <si>
    <t>125-160</t>
  </si>
  <si>
    <t>Main feeders</t>
  </si>
  <si>
    <t>160</t>
  </si>
  <si>
    <t>Large feeders</t>
  </si>
  <si>
    <t>160-200</t>
  </si>
  <si>
    <t>Main risers</t>
  </si>
  <si>
    <t>200-250</t>
  </si>
  <si>
    <t>Heavy feeders</t>
  </si>
  <si>
    <t>250-315</t>
  </si>
  <si>
    <t>Large risers</t>
  </si>
  <si>
    <t>315</t>
  </si>
  <si>
    <t>Main incoming</t>
  </si>
  <si>
    <t>315-400</t>
  </si>
  <si>
    <t>Large incoming</t>
  </si>
  <si>
    <t>400-500</t>
  </si>
  <si>
    <t>Very large loads</t>
  </si>
  <si>
    <t>Installation Methods:</t>
  </si>
  <si>
    <t>A: Method A1/A2 (Enclosed - insulated)</t>
  </si>
  <si>
    <t>B: Method B1/B2 (Enclosed - on wall)</t>
  </si>
  <si>
    <t>C: Method C (Clipped direct)</t>
  </si>
  <si>
    <t>D: Method D1/D2 (Tray/ladder)</t>
  </si>
  <si>
    <t>E: Method E (Free air)</t>
  </si>
  <si>
    <t>COMPREHENSIVE ELECTRICAL FORMULAS - IEC 60364 / BS 7671</t>
  </si>
  <si>
    <t>Formula Category</t>
  </si>
  <si>
    <t>Formula Name</t>
  </si>
  <si>
    <t>Formula</t>
  </si>
  <si>
    <t>Variables</t>
  </si>
  <si>
    <t>Example</t>
  </si>
  <si>
    <t>Single Phase Power</t>
  </si>
  <si>
    <t>Power (Real)</t>
  </si>
  <si>
    <t>P = V × I × PF</t>
  </si>
  <si>
    <t>P=Power(W), V=Voltage(V), I=Current(A), PF=Power Factor</t>
  </si>
  <si>
    <t>Real power consumed</t>
  </si>
  <si>
    <t>P = 230 × 10 × 0.8 = 1,840W</t>
  </si>
  <si>
    <t>Power (Apparent)</t>
  </si>
  <si>
    <t>S = V × I</t>
  </si>
  <si>
    <t>S=Apparent Power(VA)</t>
  </si>
  <si>
    <t>Total power including reactive</t>
  </si>
  <si>
    <t>S = 230 × 10 = 2,300VA</t>
  </si>
  <si>
    <t>Power (Reactive)</t>
  </si>
  <si>
    <t>Q = V × I × sin(φ)</t>
  </si>
  <si>
    <t>Q=Reactive Power(VAR), φ=Power angle</t>
  </si>
  <si>
    <t>Non-working power</t>
  </si>
  <si>
    <t>Q = S × sin(arccos(PF))</t>
  </si>
  <si>
    <t>Single Phase Current</t>
  </si>
  <si>
    <t>Current Calculation</t>
  </si>
  <si>
    <t>I = P / (V × PF)</t>
  </si>
  <si>
    <t>Design current from power</t>
  </si>
  <si>
    <t>I = 2000 / (230 × 0.8) = 10.87A</t>
  </si>
  <si>
    <t>Three Phase Power</t>
  </si>
  <si>
    <t>Power (Real) - Balanced</t>
  </si>
  <si>
    <t>P = √3 × V × I × PF</t>
  </si>
  <si>
    <t>V=Line voltage(V)</t>
  </si>
  <si>
    <t>Balanced 3-phase load</t>
  </si>
  <si>
    <t>P = 1.732 × 400 × 10 × 0.8 = 5,542W</t>
  </si>
  <si>
    <t>S = √3 × V × I</t>
  </si>
  <si>
    <t>Total apparent power</t>
  </si>
  <si>
    <t>S = 1.732 × 400 × 10 = 6,928VA</t>
  </si>
  <si>
    <t>Three Phase Current</t>
  </si>
  <si>
    <t>I = P / (√3 × V × PF)</t>
  </si>
  <si>
    <t>Line current from power</t>
  </si>
  <si>
    <t>I = 10000 / (1.732 × 400 × 0.8) = 18.04A</t>
  </si>
  <si>
    <t>Cable Sizing</t>
  </si>
  <si>
    <t>Minimum Cable Size</t>
  </si>
  <si>
    <t>Iz ≥ Ib / (Ca × Cg × Ci × Cc)</t>
  </si>
  <si>
    <t>Iz=Cable rating, Ib=Design current, Ca=Ambient, Cg=Grouping, Ci=Insulation, Cc=BS 7671 correction factors</t>
  </si>
  <si>
    <t>Apply all correction factors</t>
  </si>
  <si>
    <t>Design Current</t>
  </si>
  <si>
    <t>Ib = Pd / (V × PF)</t>
  </si>
  <si>
    <t>Pd=Design power load</t>
  </si>
  <si>
    <t>Before diversity</t>
  </si>
  <si>
    <t>Voltage Drop</t>
  </si>
  <si>
    <t>Voltage Drop (Single Phase)</t>
  </si>
  <si>
    <t>Vd = 2 × I × L × (R × cos(φ) + X × sin(φ)) / 1000</t>
  </si>
  <si>
    <t>Vd=Drop(V), L=Length(m), R=Resistance(mΩ/m), X=Reactance(mΩ/m)</t>
  </si>
  <si>
    <t>IEC 60364-5-52</t>
  </si>
  <si>
    <t>Max 3% lighting, 5% power</t>
  </si>
  <si>
    <t>Voltage Drop (Three Phase)</t>
  </si>
  <si>
    <t>Vd = √3 × I × L × (R × cos(φ) + X × sin(φ)) / 1000</t>
  </si>
  <si>
    <t>Voltage Drop %</t>
  </si>
  <si>
    <t>Vd% = (Vd / V) × 100</t>
  </si>
  <si>
    <t>Must be ≤3% (lighting) or ≤5% (power)</t>
  </si>
  <si>
    <t>Simplified (Single Phase)</t>
  </si>
  <si>
    <t>Vd = (2 × I × L × R) / 1000</t>
  </si>
  <si>
    <t>For PF≈1 (resistive loads)</t>
  </si>
  <si>
    <t>Short Circuit</t>
  </si>
  <si>
    <t>Fault Level</t>
  </si>
  <si>
    <t>Isc = V / (Zs)</t>
  </si>
  <si>
    <t>Isc=Short circuit current(A), Zs=Impedance(Ω)</t>
  </si>
  <si>
    <t>Earth fault loop impedance</t>
  </si>
  <si>
    <t>Let Through Energy</t>
  </si>
  <si>
    <t>I²t = Isc² × t</t>
  </si>
  <si>
    <t>t=Disconnection time(s)</t>
  </si>
  <si>
    <t>For cable thermal withstand</t>
  </si>
  <si>
    <t>Earthing</t>
  </si>
  <si>
    <t>Earth Electrode Resistance</t>
  </si>
  <si>
    <t>R = ρ × L / (2 × π × L)</t>
  </si>
  <si>
    <t>ρ=Soil resistivity(Ωm), L=Rod length(m)</t>
  </si>
  <si>
    <t>For vertical earth rod</t>
  </si>
  <si>
    <t>Uganda: ρ≈50-200 Ωm</t>
  </si>
  <si>
    <t>Touch Voltage</t>
  </si>
  <si>
    <t>Vtouch = 50 + (1.5 × ρs) / √t</t>
  </si>
  <si>
    <t>ρs=Surface layer resistivity, t=Time(s)</t>
  </si>
  <si>
    <t>IEC 61201 max permissible</t>
  </si>
  <si>
    <t>50V for t&gt;1s</t>
  </si>
  <si>
    <t>Load Calculation</t>
  </si>
  <si>
    <t>Maximum Demand</t>
  </si>
  <si>
    <t>MD = ΣPi × Di</t>
  </si>
  <si>
    <t>MD=Maximum Demand, Pi=Load i, Di=Diversity factor</t>
  </si>
  <si>
    <t>After diversity applied</t>
  </si>
  <si>
    <t>DF = Σ(Pi × DFi) / ΣPi</t>
  </si>
  <si>
    <t>DFi=Individual diversity</t>
  </si>
  <si>
    <t>Weighted average</t>
  </si>
  <si>
    <t>See diversity table</t>
  </si>
  <si>
    <t>Efficiency</t>
  </si>
  <si>
    <t>Motor Efficiency</t>
  </si>
  <si>
    <t>η = Pout / Pin × 100%</t>
  </si>
  <si>
    <t>η=Efficiency, Pout=Mechanical output, Pin=Electrical input</t>
  </si>
  <si>
    <t>Typical 85-95% for IE3/IE4</t>
  </si>
  <si>
    <t>Transformer Efficiency</t>
  </si>
  <si>
    <t>η = Pout / (Pout + Pcore + Pcopper) × 100%</t>
  </si>
  <si>
    <t>Typical &gt;98% at rated load</t>
  </si>
  <si>
    <t>Power Factor</t>
  </si>
  <si>
    <t>PF = P / S = cos(φ)</t>
  </si>
  <si>
    <t>φ=Phase angle</t>
  </si>
  <si>
    <t>Leading or lagging</t>
  </si>
  <si>
    <t>Target: PF≥0.95</t>
  </si>
  <si>
    <t>Required Capacitance</t>
  </si>
  <si>
    <t>Qc = P × (tan(φ1) - tan(φ2))</t>
  </si>
  <si>
    <t>Qc=Capacitive VAR needed, φ1=Original PF, φ2=Target PF</t>
  </si>
  <si>
    <t>PF correction</t>
  </si>
  <si>
    <t>Harmonics</t>
  </si>
  <si>
    <t>THD (Current)</t>
  </si>
  <si>
    <t>THDi = √(Σ(In²)) / I1 × 100%</t>
  </si>
  <si>
    <t>In=nth harmonic current, I1=Fundamental</t>
  </si>
  <si>
    <t>IEEE 519 limits</t>
  </si>
  <si>
    <t>Limit: &lt;15% @ PCC</t>
  </si>
  <si>
    <t>Illumination</t>
  </si>
  <si>
    <t>Lumens</t>
  </si>
  <si>
    <t>F = E × A / (MF × UF)</t>
  </si>
  <si>
    <t>F=Lumens required, E=Illuminance(lux), A=Area(m²), MF=Maintenance factor, UF=Utilization factor</t>
  </si>
  <si>
    <t>Lighting design</t>
  </si>
  <si>
    <t>Office: 500 lux</t>
  </si>
  <si>
    <t>Number of Luminaires</t>
  </si>
  <si>
    <t>N = F / (Ll × n)</t>
  </si>
  <si>
    <t>N=Number, Ll=Lumens per luminaire, n=Lamps per luminaire</t>
  </si>
  <si>
    <t>Battery Backup</t>
  </si>
  <si>
    <t>Battery Capacity (Ah)</t>
  </si>
  <si>
    <t>Ah = (P × t) / (V × η × DoD)</t>
  </si>
  <si>
    <t>P=Load(W), t=Time(hr), V=Voltage, η=Efficiency, DoD=Depth of Discharge</t>
  </si>
  <si>
    <t>UPS/emergency power</t>
  </si>
  <si>
    <t>DoD typically 0.8</t>
  </si>
  <si>
    <t>UGANDA-SPECIFIC REQUIREMENTS &amp; LOCAL STANDARDS</t>
  </si>
  <si>
    <t>Category</t>
  </si>
  <si>
    <t>Requirement</t>
  </si>
  <si>
    <t>Authority</t>
  </si>
  <si>
    <t>Specification</t>
  </si>
  <si>
    <t>Electrical Installation</t>
  </si>
  <si>
    <t>Wiring Regulations Compliance</t>
  </si>
  <si>
    <t>ERA (Electricity Regulatory Authority)</t>
  </si>
  <si>
    <t>IEC 60364 / BS 7671</t>
  </si>
  <si>
    <t>Mandatory for all installations</t>
  </si>
  <si>
    <t>Installation Certificate</t>
  </si>
  <si>
    <t>ERA</t>
  </si>
  <si>
    <t>Form ERA/ELE/01</t>
  </si>
  <si>
    <t>Required before energization</t>
  </si>
  <si>
    <t>Testing &amp; Commissioning Report</t>
  </si>
  <si>
    <t>IEC 60364-6</t>
  </si>
  <si>
    <t>Insulation resistance, earth loop, RCD tests</t>
  </si>
  <si>
    <t>Voltage Standards</t>
  </si>
  <si>
    <t>Single Phase Supply</t>
  </si>
  <si>
    <t>UMEME/ERA</t>
  </si>
  <si>
    <t>230V ±10% @ 50Hz</t>
  </si>
  <si>
    <t>Actual range: 207-253V</t>
  </si>
  <si>
    <t>Three Phase Supply</t>
  </si>
  <si>
    <t>400V ±10% @ 50Hz</t>
  </si>
  <si>
    <t>Actual range: 360-440V</t>
  </si>
  <si>
    <t>Frequency Tolerance</t>
  </si>
  <si>
    <t>50Hz ±1%</t>
  </si>
  <si>
    <t>49.5-50.5Hz acceptable</t>
  </si>
  <si>
    <t>Main Earthing Conductor</t>
  </si>
  <si>
    <t>Min 16mm² copper</t>
  </si>
  <si>
    <t>TN-S or TN-C-S system</t>
  </si>
  <si>
    <t>ERA/KCCA</t>
  </si>
  <si>
    <t>≤5Ω (LV), ≤1Ω (HV)</t>
  </si>
  <si>
    <t>Measured at dry season</t>
  </si>
  <si>
    <t>Soil Resistivity (Uganda)</t>
  </si>
  <si>
    <t>Typical Range</t>
  </si>
  <si>
    <t>50-200 Ωm</t>
  </si>
  <si>
    <t>Varies by location, clay/laterite soil</t>
  </si>
  <si>
    <t>Lightning Protection</t>
  </si>
  <si>
    <t>Risk Assessment</t>
  </si>
  <si>
    <t>KCCA/IEC 62305</t>
  </si>
  <si>
    <t>IEC 62305-2</t>
  </si>
  <si>
    <t>Required for buildings &gt;15m or public occupancy</t>
  </si>
  <si>
    <t>Protection Level</t>
  </si>
  <si>
    <t>IEC 62305</t>
  </si>
  <si>
    <t>Class II (Normal)</t>
  </si>
  <si>
    <t>Class I for critical facilities</t>
  </si>
  <si>
    <t>Generator Installation</t>
  </si>
  <si>
    <t>Noise Limits</t>
  </si>
  <si>
    <t>NEMA</t>
  </si>
  <si>
    <t>≤70dB(A) @ 1m daytime, ≤55dB(A) night</t>
  </si>
  <si>
    <t>NEA Cap 153</t>
  </si>
  <si>
    <t>Emission Standards</t>
  </si>
  <si>
    <t>EPA Tier 2/3</t>
  </si>
  <si>
    <t>Environmental compliance required</t>
  </si>
  <si>
    <t>Fuel Storage</t>
  </si>
  <si>
    <t>NEMA/KCCA</t>
  </si>
  <si>
    <t>Min 2hr bund capacity</t>
  </si>
  <si>
    <t>Double-wall tanks preferred</t>
  </si>
  <si>
    <t>ATS Changeover Time</t>
  </si>
  <si>
    <t>Uganda Practice</t>
  </si>
  <si>
    <t>≤15 seconds</t>
  </si>
  <si>
    <t>Critical: ≤5 seconds</t>
  </si>
  <si>
    <t>Solar PV</t>
  </si>
  <si>
    <t>Net Metering Regulations</t>
  </si>
  <si>
    <t>ERA Solar PV Regulations 2023</t>
  </si>
  <si>
    <t>Up to 5MW for grid connection</t>
  </si>
  <si>
    <t>Feed-in Tariff</t>
  </si>
  <si>
    <t>Published rates</t>
  </si>
  <si>
    <t>Check ERA website for current rates</t>
  </si>
  <si>
    <t>Minimum Conductor Size (Fixed)</t>
  </si>
  <si>
    <t>BS 7671/ERA</t>
  </si>
  <si>
    <t>1.5mm² (lighting), 2.5mm² (power)</t>
  </si>
  <si>
    <t>Fixed wiring minimum</t>
  </si>
  <si>
    <t>Volt Drop Limit</t>
  </si>
  <si>
    <t>BS 7671</t>
  </si>
  <si>
    <t>3% (lighting), 5% (power)</t>
  </si>
  <si>
    <t>From origin to final circuit</t>
  </si>
  <si>
    <t>Protective Devices</t>
  </si>
  <si>
    <t>RCD Protection</t>
  </si>
  <si>
    <t>30mA for sockets ≤32A</t>
  </si>
  <si>
    <t>All socket outlets require RCD</t>
  </si>
  <si>
    <t>Circuit Breaker Standards</t>
  </si>
  <si>
    <t>IEC 60898 (MCB), IEC 60947 (MCCB)</t>
  </si>
  <si>
    <t>Type B/C for general use</t>
  </si>
  <si>
    <t>Metering</t>
  </si>
  <si>
    <t>Accuracy Class</t>
  </si>
  <si>
    <t>Class 1 (Active), Class 2 (Reactive)</t>
  </si>
  <si>
    <t>IEC 62053 standards</t>
  </si>
  <si>
    <t>Meter Installation</t>
  </si>
  <si>
    <t>UMEME</t>
  </si>
  <si>
    <t>External weatherproof box</t>
  </si>
  <si>
    <t>Customer accessible, sealed by utility</t>
  </si>
  <si>
    <t>Emergency Power</t>
  </si>
  <si>
    <t>Critical Facilities</t>
  </si>
  <si>
    <t>Fire Code/MOH</t>
  </si>
  <si>
    <t>100% backup capacity</t>
  </si>
  <si>
    <t>Hospitals, data centers</t>
  </si>
  <si>
    <t>Backup Duration</t>
  </si>
  <si>
    <t>Standard Practice</t>
  </si>
  <si>
    <t>4-8 hours minimum</t>
  </si>
  <si>
    <t>Based on grid reliability</t>
  </si>
  <si>
    <t>Inspection</t>
  </si>
  <si>
    <t>Periodic Inspection Interval</t>
  </si>
  <si>
    <t>5 years (domestic), 3 years (commercial)</t>
  </si>
  <si>
    <t>Or after major alteration</t>
  </si>
  <si>
    <t>Documentation</t>
  </si>
  <si>
    <t>As-Built Drawings</t>
  </si>
  <si>
    <t>KCCA</t>
  </si>
  <si>
    <t>Required format: ISO 19650</t>
  </si>
  <si>
    <t>For building permit closure</t>
  </si>
  <si>
    <t>O&amp;M Manuals</t>
  </si>
  <si>
    <t>Client Standard</t>
  </si>
  <si>
    <t>Mandatory</t>
  </si>
  <si>
    <t>English language, equipment datasheets</t>
  </si>
  <si>
    <t>Tariffs</t>
  </si>
  <si>
    <t>Commercial Tariff (C1)</t>
  </si>
  <si>
    <t>Demand + Energy charges</t>
  </si>
  <si>
    <t>Check current published rates</t>
  </si>
  <si>
    <t>Industrial Tariff (M1-M3)</t>
  </si>
  <si>
    <t>Demand + Energy + PF penalty</t>
  </si>
  <si>
    <t>PF&lt;0.9 attracts penalty</t>
  </si>
  <si>
    <t>Safety</t>
  </si>
  <si>
    <t>Isolation Distance (LV)</t>
  </si>
  <si>
    <t>IEC 61936</t>
  </si>
  <si>
    <t>≥2.5m</t>
  </si>
  <si>
    <t>From overhead lines to building</t>
  </si>
  <si>
    <t>Clearance Height (LV)</t>
  </si>
  <si>
    <t>≥6m (road crossing), ≥4m (other)</t>
  </si>
  <si>
    <t>Above ground level</t>
  </si>
  <si>
    <t>Enclosure Rating</t>
  </si>
  <si>
    <t>Minimum IP Rating (Outdoor)</t>
  </si>
  <si>
    <t>IEC 60529</t>
  </si>
  <si>
    <t>IP54</t>
  </si>
  <si>
    <t>Dust/water ingress protection</t>
  </si>
  <si>
    <t>Minimum IP Rating (Indoor)</t>
  </si>
  <si>
    <t>IP20</t>
  </si>
  <si>
    <t>General indoor use</t>
  </si>
  <si>
    <t>CABLE DERATING FACTORS</t>
  </si>
  <si>
    <t>AMBIENT TEMPERATURE CORRECTION FACTORS</t>
  </si>
  <si>
    <t>Ambient Temp (°C)</t>
  </si>
  <si>
    <t>PVC Insulation (70°C)</t>
  </si>
  <si>
    <t>XLPE Insulation (90°C)</t>
  </si>
  <si>
    <t>Silicone Insulation (180°C)</t>
  </si>
  <si>
    <t>GROUPING CORRECTION FACTORS</t>
  </si>
  <si>
    <t>Number of Circuits</t>
  </si>
  <si>
    <t>Touching / Bunched</t>
  </si>
  <si>
    <t>Single Layer on Wall</t>
  </si>
  <si>
    <t>Single Layer Clipped</t>
  </si>
  <si>
    <t>11-15</t>
  </si>
  <si>
    <t>16-20</t>
  </si>
  <si>
    <t>DIVERSITY AND DEMAND FACTORS</t>
  </si>
  <si>
    <t>Load Type</t>
  </si>
  <si>
    <t>Typical Power Factor</t>
  </si>
  <si>
    <t>Application</t>
  </si>
  <si>
    <t>Standard Reference</t>
  </si>
  <si>
    <t>General office lighting</t>
  </si>
  <si>
    <t>Emergency route lighting</t>
  </si>
  <si>
    <t>Lighting - External</t>
  </si>
  <si>
    <t>External/security lighting</t>
  </si>
  <si>
    <t>IEC 60364</t>
  </si>
  <si>
    <t>Power Outlets - Office</t>
  </si>
  <si>
    <t>Desktop equipment</t>
  </si>
  <si>
    <t>Power Outlets - Kitchen</t>
  </si>
  <si>
    <t>Small appliances</t>
  </si>
  <si>
    <t>Power Outlets - Workshop</t>
  </si>
  <si>
    <t>Power tools</t>
  </si>
  <si>
    <t>HVAC - Air Conditioning</t>
  </si>
  <si>
    <t>Cooling systems</t>
  </si>
  <si>
    <t>ASHRAE</t>
  </si>
  <si>
    <t>HVAC - Ventilation</t>
  </si>
  <si>
    <t>Exhaust/supply fans</t>
  </si>
  <si>
    <t>Motors - Continuous</t>
  </si>
  <si>
    <t>Pumps, compressors</t>
  </si>
  <si>
    <t>IEC 60034</t>
  </si>
  <si>
    <t>Motors - Intermittent</t>
  </si>
  <si>
    <t>Occasional use</t>
  </si>
  <si>
    <t>Resistive heating</t>
  </si>
  <si>
    <t>Elevators/Lifts</t>
  </si>
  <si>
    <t>Vertical transport</t>
  </si>
  <si>
    <t>ISO 4190</t>
  </si>
  <si>
    <t>Commercial kitchen</t>
  </si>
  <si>
    <t>IT/Server Rooms</t>
  </si>
  <si>
    <t>Data center loads</t>
  </si>
  <si>
    <t>TIA-942</t>
  </si>
  <si>
    <t>Special Equipment</t>
  </si>
  <si>
    <t>Case-by-case assessment</t>
  </si>
  <si>
    <t>Engineering judgment</t>
  </si>
  <si>
    <t>STANDARD CIRCUIT BREAKER RATINGS (IEC 60898 / IEC 60947)</t>
  </si>
  <si>
    <t>Rating (A)</t>
  </si>
  <si>
    <t>Type</t>
  </si>
  <si>
    <t>Trip Curves</t>
  </si>
  <si>
    <t>Breaking Capacity (kA)</t>
  </si>
  <si>
    <t>Typical Application</t>
  </si>
  <si>
    <t>Voltage</t>
  </si>
  <si>
    <t>MCB</t>
  </si>
  <si>
    <t>B, C</t>
  </si>
  <si>
    <t>6, 10</t>
  </si>
  <si>
    <t>Lighting circuits</t>
  </si>
  <si>
    <t>230V</t>
  </si>
  <si>
    <t>B, C, D</t>
  </si>
  <si>
    <t>Power circuits</t>
  </si>
  <si>
    <t>C, D</t>
  </si>
  <si>
    <t>Heavy duty sockets</t>
  </si>
  <si>
    <t>10</t>
  </si>
  <si>
    <t>230/400V</t>
  </si>
  <si>
    <t>Sub-mains</t>
  </si>
  <si>
    <t>400V</t>
  </si>
  <si>
    <t>10, 15</t>
  </si>
  <si>
    <t>Distribution</t>
  </si>
  <si>
    <t>Small sub-mains</t>
  </si>
  <si>
    <t>MCB/MCCB</t>
  </si>
  <si>
    <t>15, 25</t>
  </si>
  <si>
    <t>Distribution boards</t>
  </si>
  <si>
    <t>MCCB</t>
  </si>
  <si>
    <t>C</t>
  </si>
  <si>
    <t>25, 36</t>
  </si>
  <si>
    <t>36, 50</t>
  </si>
  <si>
    <t>Heavy distribution</t>
  </si>
  <si>
    <t>50, 70</t>
  </si>
  <si>
    <t>Main switchboards</t>
  </si>
  <si>
    <t>Fixed</t>
  </si>
  <si>
    <t>Large switchboards</t>
  </si>
  <si>
    <t>ACB</t>
  </si>
  <si>
    <t>65, 85</t>
  </si>
  <si>
    <t>85, 100</t>
  </si>
  <si>
    <t>Industrial mains</t>
  </si>
  <si>
    <t>100</t>
  </si>
  <si>
    <t>Main busbars</t>
  </si>
  <si>
    <t>Trip Curve Types:</t>
  </si>
  <si>
    <t>B: 3-5 × In (sensitive circuits, long cables)</t>
  </si>
  <si>
    <t>C: 5-10 × In (general use, most common)</t>
  </si>
  <si>
    <t>D: 10-20 × In (motors, transformers, high inrush)</t>
  </si>
  <si>
    <t>VOLTAGE DROP REQUIREMENTS (IEC 60364-5-52 / BS 7671)</t>
  </si>
  <si>
    <t>Circuit Type</t>
  </si>
  <si>
    <t>Max % Drop</t>
  </si>
  <si>
    <t>From</t>
  </si>
  <si>
    <t>Standard</t>
  </si>
  <si>
    <t>Lighting Circuits</t>
  </si>
  <si>
    <t>3%</t>
  </si>
  <si>
    <t>Origin</t>
  </si>
  <si>
    <t>More stringent for lighting</t>
  </si>
  <si>
    <t>Power Circuits</t>
  </si>
  <si>
    <t>5%</t>
  </si>
  <si>
    <t>General use sockets/equipment</t>
  </si>
  <si>
    <t>Motor Circuits</t>
  </si>
  <si>
    <t>During starting conditions</t>
  </si>
  <si>
    <t>Combined (Total)</t>
  </si>
  <si>
    <t>Maximum total drop</t>
  </si>
  <si>
    <t>1-2%</t>
  </si>
  <si>
    <t>Previous board</t>
  </si>
  <si>
    <t>Engineering Practice</t>
  </si>
  <si>
    <t>Allow headroom for final circuits</t>
  </si>
  <si>
    <t>Temporary Supply</t>
  </si>
  <si>
    <t>6%</t>
  </si>
  <si>
    <t>Construction sites only</t>
  </si>
  <si>
    <t>Uganda-Specific Considerations:</t>
  </si>
  <si>
    <t>• Grid voltage variation: ±10% (210-250V for 230V nominal)</t>
  </si>
  <si>
    <t>• Consider voltage drop at minimum grid voltage</t>
  </si>
  <si>
    <t>• Allow 2% margin for supply variations</t>
  </si>
  <si>
    <t>• High ambient temperatures reduce cable capacity</t>
  </si>
  <si>
    <t>CABLE TYPE SPECIFICATIONS</t>
  </si>
  <si>
    <t>Cable Code</t>
  </si>
  <si>
    <t>Full Name</t>
  </si>
  <si>
    <t>Typical Sizes</t>
  </si>
  <si>
    <t>Voltage Rating</t>
  </si>
  <si>
    <t>NYM</t>
  </si>
  <si>
    <t>PVC Insulated Installation Cable</t>
  </si>
  <si>
    <t>1.5-10mm²</t>
  </si>
  <si>
    <t>Fixed wiring in buildings</t>
  </si>
  <si>
    <t>300/500V</t>
  </si>
  <si>
    <t>VDE 0250</t>
  </si>
  <si>
    <t>NYAF</t>
  </si>
  <si>
    <t>Flexible Stranded Conductor</t>
  </si>
  <si>
    <t>1.5-35mm²</t>
  </si>
  <si>
    <t>Final connections, appliances</t>
  </si>
  <si>
    <t>450/750V</t>
  </si>
  <si>
    <t>IEC 60227</t>
  </si>
  <si>
    <t>NYY</t>
  </si>
  <si>
    <t>PVC Insulated Power Cable</t>
  </si>
  <si>
    <t>16-400mm²</t>
  </si>
  <si>
    <t>Distribution, underground</t>
  </si>
  <si>
    <t>0.6/1kV</t>
  </si>
  <si>
    <t>VDE 0276</t>
  </si>
  <si>
    <t>NYCY</t>
  </si>
  <si>
    <t>Control/Signal Cable</t>
  </si>
  <si>
    <t>0.5-4mm²</t>
  </si>
  <si>
    <t>Control circuits</t>
  </si>
  <si>
    <t>N2XY</t>
  </si>
  <si>
    <t>XLPE Insulated Power Cable</t>
  </si>
  <si>
    <t>25-500mm²</t>
  </si>
  <si>
    <t>HV distribution, underground</t>
  </si>
  <si>
    <t>6/10kV, 12/20kV</t>
  </si>
  <si>
    <t>IEC 60502</t>
  </si>
  <si>
    <t>H07RN-F</t>
  </si>
  <si>
    <t>Rubber Cable Heavy Duty</t>
  </si>
  <si>
    <t>1.5-50mm²</t>
  </si>
  <si>
    <t>Industrial, outdoor</t>
  </si>
  <si>
    <t>IEC 60245</t>
  </si>
  <si>
    <t>Armoured (SWA)</t>
  </si>
  <si>
    <t>Steel Wire Armoured</t>
  </si>
  <si>
    <t>16-500mm²</t>
  </si>
  <si>
    <t>Underground, exposed</t>
  </si>
  <si>
    <t>BS 5467</t>
  </si>
  <si>
    <t>FP200</t>
  </si>
  <si>
    <t>Fire Resistant Cable</t>
  </si>
  <si>
    <t>1.5-25mm²</t>
  </si>
  <si>
    <t>Fire alarm, emergency</t>
  </si>
  <si>
    <t>BS 7629</t>
  </si>
  <si>
    <t>Cat5e/Cat6</t>
  </si>
  <si>
    <t>Data Cable</t>
  </si>
  <si>
    <t>4-pair</t>
  </si>
  <si>
    <t>Network/telecom</t>
  </si>
  <si>
    <t>LV</t>
  </si>
  <si>
    <t>TIA/EIA-568</t>
  </si>
  <si>
    <t>UGANDA ELECTRICAL STANDARDS &amp; REGULATIONS</t>
  </si>
  <si>
    <t>Parameter</t>
  </si>
  <si>
    <t>Value/Requirement</t>
  </si>
  <si>
    <t>Nominal Voltage (Single Phase)</t>
  </si>
  <si>
    <t>230V ±10%</t>
  </si>
  <si>
    <t>Umeme/ERA</t>
  </si>
  <si>
    <t>Actual: 207-253V</t>
  </si>
  <si>
    <t>Nominal Voltage (Three Phase)</t>
  </si>
  <si>
    <t>400V ±10%</t>
  </si>
  <si>
    <t>Actual: 360-440V</t>
  </si>
  <si>
    <t>Frequency</t>
  </si>
  <si>
    <t>50Hz</t>
  </si>
  <si>
    <t>Standard for East Africa</t>
  </si>
  <si>
    <t>Power Factor Requirement</t>
  </si>
  <si>
    <t>≥0.85</t>
  </si>
  <si>
    <t>Industrial/commercial</t>
  </si>
  <si>
    <t>Earthing System</t>
  </si>
  <si>
    <t>TN-S or TN-C-S</t>
  </si>
  <si>
    <t>TT in rural areas</t>
  </si>
  <si>
    <t>Maximum Earth Loop Impedance</t>
  </si>
  <si>
    <t>Per IEC 60364</t>
  </si>
  <si>
    <t>Depends on CB rating</t>
  </si>
  <si>
    <t>Required ≤32A sockets</t>
  </si>
  <si>
    <t>30mA for personnel</t>
  </si>
  <si>
    <t>Surge Protection</t>
  </si>
  <si>
    <t>Recommended</t>
  </si>
  <si>
    <t>Due to lightning risk</t>
  </si>
  <si>
    <t>IP Rating (Outdoor)</t>
  </si>
  <si>
    <t>IP54 minimum</t>
  </si>
  <si>
    <t>Dust and moisture</t>
  </si>
  <si>
    <t>Fire Rating</t>
  </si>
  <si>
    <t>60/90/120 min</t>
  </si>
  <si>
    <t>Local Authority</t>
  </si>
  <si>
    <t>Based on building type</t>
  </si>
  <si>
    <t>Ambient Temperature</t>
  </si>
  <si>
    <t>30-40°C typical</t>
  </si>
  <si>
    <t>Site conditions</t>
  </si>
  <si>
    <t>Use in derating</t>
  </si>
  <si>
    <t>Grid Stability</t>
  </si>
  <si>
    <t>Variable</t>
  </si>
  <si>
    <t>Umeme</t>
  </si>
  <si>
    <t>UPS recommended for sensitive loads</t>
  </si>
  <si>
    <t>Color Coding</t>
  </si>
  <si>
    <t>Per IEC 60446</t>
  </si>
  <si>
    <t>Brown/Blue/Green-Yellow</t>
  </si>
  <si>
    <t>Cable Standards</t>
  </si>
  <si>
    <t>IEC 60227, IEC 60502</t>
  </si>
  <si>
    <t>UBS</t>
  </si>
  <si>
    <t>Uganda Bureau of Standards</t>
  </si>
  <si>
    <t>CB Standards</t>
  </si>
  <si>
    <t>IEC 60898, IEC 60947</t>
  </si>
  <si>
    <t>Approved manufacturers only</t>
  </si>
  <si>
    <t>Key Regulations:</t>
  </si>
  <si>
    <t>• Electricity Act (Uganda)</t>
  </si>
  <si>
    <t>• ERA (Electricity Regulatory Authority) Regulations</t>
  </si>
  <si>
    <t>• Uganda National Bureau of Standards (UNBS)</t>
  </si>
  <si>
    <t>• IEC and BS Standards (adopted)</t>
  </si>
  <si>
    <t>• Local Authority Building Codes</t>
  </si>
  <si>
    <t>ELECTRICAL CALCULATION FORMULAS</t>
  </si>
  <si>
    <t>Calculation</t>
  </si>
  <si>
    <t>Demand Load</t>
  </si>
  <si>
    <t>Pd = Pc × DF</t>
  </si>
  <si>
    <t>Pc=Connected load, DF=Diversity factor</t>
  </si>
  <si>
    <t>Design Current (1P)</t>
  </si>
  <si>
    <t>V=Voltage, PF=Power factor</t>
  </si>
  <si>
    <t>Design Current (3P)</t>
  </si>
  <si>
    <t>Ib = Pd / (√3 × V × PF)</t>
  </si>
  <si>
    <t>√3 = 1.732</t>
  </si>
  <si>
    <t>CB Size Selection</t>
  </si>
  <si>
    <t>In ≥ Ib</t>
  </si>
  <si>
    <t>In=Nominal CB rating ≥ Design current</t>
  </si>
  <si>
    <t>Cable Size Check</t>
  </si>
  <si>
    <t>Iz ≥ In</t>
  </si>
  <si>
    <t>Iz=Cable rating ≥ CB rating</t>
  </si>
  <si>
    <t>Voltage Drop (1P)</t>
  </si>
  <si>
    <t>Vd = (2 × L × Ib × ρ) / A</t>
  </si>
  <si>
    <t>L=length(m), ρ=0.0175, A=CSA(mm²)</t>
  </si>
  <si>
    <t>Voltage Drop (3P)</t>
  </si>
  <si>
    <t>Vd = (√3 × L × Ib × ρ) / A</t>
  </si>
  <si>
    <t>For balanced 3-phase loads</t>
  </si>
  <si>
    <t>Vd% = (Vd / Vn) × 100</t>
  </si>
  <si>
    <t>Vn=Nominal voltage</t>
  </si>
  <si>
    <t>Earth Loop Impedance</t>
  </si>
  <si>
    <t>Zs = Ze + (R1 + R2)</t>
  </si>
  <si>
    <t>Ze=external, R1=phase, R2=earth</t>
  </si>
  <si>
    <t>Fault Current</t>
  </si>
  <si>
    <t>If = Uo / Zs</t>
  </si>
  <si>
    <t>Uo=Phase-earth voltage</t>
  </si>
  <si>
    <t>Disconnection Time</t>
  </si>
  <si>
    <t>t = k²S² / I²</t>
  </si>
  <si>
    <t>IEC 60364-4-41</t>
  </si>
  <si>
    <t>Panel Total Load</t>
  </si>
  <si>
    <t>ΣPd</t>
  </si>
  <si>
    <t>Sum of all demand loads</t>
  </si>
  <si>
    <t>Panel Utilization</t>
  </si>
  <si>
    <t>U% = (Σ Ib / In,panel) × 100</t>
  </si>
  <si>
    <t>Should be &lt;85%</t>
  </si>
  <si>
    <t>Power (1P)</t>
  </si>
  <si>
    <t>Real power in watts</t>
  </si>
  <si>
    <t>Power (3P)</t>
  </si>
  <si>
    <t>Three-phase power</t>
  </si>
  <si>
    <t>Apparent Power</t>
  </si>
  <si>
    <t>VA rating</t>
  </si>
  <si>
    <t>Reactive Power</t>
  </si>
  <si>
    <t>Q = √(S² - P²)</t>
  </si>
  <si>
    <t>VAr (inductive)</t>
  </si>
  <si>
    <t>Cable Resistance</t>
  </si>
  <si>
    <t>R = ρ × L / A</t>
  </si>
  <si>
    <t>Ohms, at 20°C</t>
  </si>
  <si>
    <t>Correction Factor (Total)</t>
  </si>
  <si>
    <t>Ct = Ca × Cg × Cd</t>
  </si>
  <si>
    <t>Ambient × Grouping × Installation</t>
  </si>
  <si>
    <t>Corrected Cable Rating</t>
  </si>
  <si>
    <t>Iz,corrected = Iz × Ct</t>
  </si>
  <si>
    <t>Apply all derating factors</t>
  </si>
  <si>
    <t>UGANDA ELECTRICAL STANDARDS - EQUIPMENT &amp; SYSTEMS</t>
  </si>
  <si>
    <t>SECTION 1.1 - DISTRIBUTION PANELS per IEC 61439</t>
  </si>
  <si>
    <t>ASSETMANAGEMENT_PRODUCT_CODE</t>
  </si>
  <si>
    <t>PROJECTINFO_DESCRIPTION_TXT</t>
  </si>
  <si>
    <t>REGULATORY_UNBS_STANDARD_REFERENCE</t>
  </si>
  <si>
    <t>DB</t>
  </si>
  <si>
    <t>Distribution Board</t>
  </si>
  <si>
    <t>General power distribution board per IEC 61439-2</t>
  </si>
  <si>
    <t>EDB</t>
  </si>
  <si>
    <t>Emergency Distribution Board</t>
  </si>
  <si>
    <t>Emergency power distribution panel</t>
  </si>
  <si>
    <t>ELDB</t>
  </si>
  <si>
    <t>Emergency Lighting Distribution Board</t>
  </si>
  <si>
    <t>Emergency lighting panel per IEC 60364-5-56</t>
  </si>
  <si>
    <t>EMDB</t>
  </si>
  <si>
    <t>Emergency Main Distribution Board</t>
  </si>
  <si>
    <t>Emergency main switchboard</t>
  </si>
  <si>
    <t>ESDB</t>
  </si>
  <si>
    <t>Essential Services Distribution Board</t>
  </si>
  <si>
    <t>Critical power distribution board</t>
  </si>
  <si>
    <t>FDB</t>
  </si>
  <si>
    <t>Floor Distribution Board</t>
  </si>
  <si>
    <t>Floor-level sub-distribution panel</t>
  </si>
  <si>
    <t>ISDB</t>
  </si>
  <si>
    <t>Isolated Sub-Distribution Board</t>
  </si>
  <si>
    <t>IT system isolated panel per IEC 60364-4-41</t>
  </si>
  <si>
    <t>LDB</t>
  </si>
  <si>
    <t>Local Distribution Board</t>
  </si>
  <si>
    <t>Local area distribution panel</t>
  </si>
  <si>
    <t>LSDB</t>
  </si>
  <si>
    <t>Lighting Sub-Distribution Board</t>
  </si>
  <si>
    <t>Lighting-specific sub-panel</t>
  </si>
  <si>
    <t>MDB</t>
  </si>
  <si>
    <t>Main Distribution Board</t>
  </si>
  <si>
    <t>Building main distribution board</t>
  </si>
  <si>
    <t>MLDB</t>
  </si>
  <si>
    <t>Mechanical Lighting Distribution Board</t>
  </si>
  <si>
    <t>MEP lighting distribution</t>
  </si>
  <si>
    <t>MLVDB</t>
  </si>
  <si>
    <t>Medium Low Voltage Distribution Board</t>
  </si>
  <si>
    <t>MLV distribution panel</t>
  </si>
  <si>
    <t>MMDB</t>
  </si>
  <si>
    <t>Main-Main Distribution Board</t>
  </si>
  <si>
    <t>Dual main distribution board</t>
  </si>
  <si>
    <t>MSDB</t>
  </si>
  <si>
    <t>Mechanical Sub-Distribution Board</t>
  </si>
  <si>
    <t>HVAC power sub-panel</t>
  </si>
  <si>
    <t>PSDB</t>
  </si>
  <si>
    <t>Power Sub-Distribution Board</t>
  </si>
  <si>
    <t>Power distribution sub-panel</t>
  </si>
  <si>
    <t>SDB</t>
  </si>
  <si>
    <t>Sub-Distribution Board</t>
  </si>
  <si>
    <t>General sub-distribution board</t>
  </si>
  <si>
    <t>SMDB</t>
  </si>
  <si>
    <t>Sub-Main Distribution Board</t>
  </si>
  <si>
    <t>Sub-main distribution panel</t>
  </si>
  <si>
    <t>ZDB</t>
  </si>
  <si>
    <t>Zone Distribution Board</t>
  </si>
  <si>
    <t>Zone-specific distribution panel</t>
  </si>
  <si>
    <t>SECTION 1.2 - SWITCHBOARDS &amp; SWITCHGEAR per IEC 62271</t>
  </si>
  <si>
    <t>ATS</t>
  </si>
  <si>
    <t>Automatic Transfer Switch</t>
  </si>
  <si>
    <t>Auto transfer switch per IEC 60947-6-1</t>
  </si>
  <si>
    <t>BATS</t>
  </si>
  <si>
    <t>Bypass Automatic Transfer Switch</t>
  </si>
  <si>
    <t>Bypass ATS with maintenance bypass</t>
  </si>
  <si>
    <t>EATS</t>
  </si>
  <si>
    <t>Emergency Automatic Transfer Switch</t>
  </si>
  <si>
    <t>Emergency power ATS</t>
  </si>
  <si>
    <t>EMSB</t>
  </si>
  <si>
    <t>Emergency Main Switchboard</t>
  </si>
  <si>
    <t>Emergency MSB per IEC 60364</t>
  </si>
  <si>
    <t>LVAC</t>
  </si>
  <si>
    <t>LV Air Circuit Breaker Panel</t>
  </si>
  <si>
    <t>Low voltage ACB panel per IEC 60947-2</t>
  </si>
  <si>
    <t>LVMC</t>
  </si>
  <si>
    <t>LV Moulded Case Panel</t>
  </si>
  <si>
    <t>LV MCCB panel</t>
  </si>
  <si>
    <t>LVMCC</t>
  </si>
  <si>
    <t>LV Motor Control Center</t>
  </si>
  <si>
    <t>Motor control center per IEC 61439-2</t>
  </si>
  <si>
    <t>LVSG</t>
  </si>
  <si>
    <t>Low Voltage Switchgear</t>
  </si>
  <si>
    <t>LV switchgear &lt;1kV per IEC 61439</t>
  </si>
  <si>
    <t>MATS</t>
  </si>
  <si>
    <t>Main Automatic Transfer Switch</t>
  </si>
  <si>
    <t>Main service ATS</t>
  </si>
  <si>
    <t>MMSB</t>
  </si>
  <si>
    <t>Main-Main Switchboard</t>
  </si>
  <si>
    <t>Dual main switchboard</t>
  </si>
  <si>
    <t>MSB</t>
  </si>
  <si>
    <t>Main Switchboard</t>
  </si>
  <si>
    <t>Main electrical switchboard per IEC 61439-1</t>
  </si>
  <si>
    <t>MVSG</t>
  </si>
  <si>
    <t>Medium Voltage Switchgear</t>
  </si>
  <si>
    <t>MV switchgear 1-36kV per IEC 62271-200</t>
  </si>
  <si>
    <t>RMU</t>
  </si>
  <si>
    <t>Ring Main Unit</t>
  </si>
  <si>
    <t>MV ring main unit per IEC 62271-200</t>
  </si>
  <si>
    <t>SATS</t>
  </si>
  <si>
    <t>Sub Automatic Transfer Switch</t>
  </si>
  <si>
    <t>Sub-panel ATS</t>
  </si>
  <si>
    <t>SF6</t>
  </si>
  <si>
    <t>SF6 Gas Insulated Switchgear</t>
  </si>
  <si>
    <t>SF6 GIS per IEC 62271-203</t>
  </si>
  <si>
    <t>SMSB</t>
  </si>
  <si>
    <t>Sub-Main Switchboard</t>
  </si>
  <si>
    <t>Secondary switchboard</t>
  </si>
  <si>
    <t>VCB</t>
  </si>
  <si>
    <t>Vacuum Circuit Breaker Panel</t>
  </si>
  <si>
    <t>VCB switchgear per IEC 62271-100</t>
  </si>
  <si>
    <t>SECTION 1.3 - TRANSFORMERS per IEC 60076</t>
  </si>
  <si>
    <t>AUTX</t>
  </si>
  <si>
    <t>Auto Transformer</t>
  </si>
  <si>
    <t>Autotransformer per IEC 60076-11</t>
  </si>
  <si>
    <t>CTX</t>
  </si>
  <si>
    <t>Control Transformer</t>
  </si>
  <si>
    <t>Control circuit transformer</t>
  </si>
  <si>
    <t>DTX</t>
  </si>
  <si>
    <t>Dry Type Transformer</t>
  </si>
  <si>
    <t>Dry-type distribution transformer per IEC 60076-11</t>
  </si>
  <si>
    <t>FRTX</t>
  </si>
  <si>
    <t>Furnace/Rectifier Transformer</t>
  </si>
  <si>
    <t>Rectifier transformer for DC systems</t>
  </si>
  <si>
    <t>ITX</t>
  </si>
  <si>
    <t>Indoor Transformer</t>
  </si>
  <si>
    <t>Indoor oil-filled transformer</t>
  </si>
  <si>
    <t>KVTX</t>
  </si>
  <si>
    <t>K-Rated Transformer</t>
  </si>
  <si>
    <t>Harmonic-rated transformer (K-factor)</t>
  </si>
  <si>
    <t>MEDTX</t>
  </si>
  <si>
    <t>Medical Isolation Transformer</t>
  </si>
  <si>
    <t>Medical IT transformer per IEC 61558-2-15</t>
  </si>
  <si>
    <t>OTX</t>
  </si>
  <si>
    <t>Oil Type Transformer</t>
  </si>
  <si>
    <t>Oil-immersed transformer per IEC 60076</t>
  </si>
  <si>
    <t>PTX</t>
  </si>
  <si>
    <t>Pad Mounted Transformer</t>
  </si>
  <si>
    <t>Outdoor pad-mount transformer</t>
  </si>
  <si>
    <t>SOLTX</t>
  </si>
  <si>
    <t>Solar Transformer</t>
  </si>
  <si>
    <t>Solar inverter step-up transformer</t>
  </si>
  <si>
    <t>STX</t>
  </si>
  <si>
    <t>Step-Down Transformer</t>
  </si>
  <si>
    <t>Voltage step-down transformer</t>
  </si>
  <si>
    <t>SUTX</t>
  </si>
  <si>
    <t>Step-Up Transformer</t>
  </si>
  <si>
    <t>Voltage step-up transformer</t>
  </si>
  <si>
    <t>TX</t>
  </si>
  <si>
    <t>Transformer</t>
  </si>
  <si>
    <t>General distribution transformer per IEC 60076</t>
  </si>
  <si>
    <t>UVTX</t>
  </si>
  <si>
    <t>Ultra Violet Transformer</t>
  </si>
  <si>
    <t>UV lamp ballast transformer</t>
  </si>
  <si>
    <t>SECTION 1.4 - GENERATORS &amp; UPS per ISO 8528 / IEC 62040</t>
  </si>
  <si>
    <t>BAT</t>
  </si>
  <si>
    <t>Battery Bank</t>
  </si>
  <si>
    <t>Battery energy storage system per IEC 61427</t>
  </si>
  <si>
    <t>DFGEN</t>
  </si>
  <si>
    <t>Dual Fuel Generator</t>
  </si>
  <si>
    <t>Diesel/gas dual-fuel generator</t>
  </si>
  <si>
    <t>DGEN</t>
  </si>
  <si>
    <t>Diesel Generator</t>
  </si>
  <si>
    <t>Diesel engine generator per ISO 8528</t>
  </si>
  <si>
    <t>DUPS</t>
  </si>
  <si>
    <t>Distributed UPS</t>
  </si>
  <si>
    <t>Distributed/modular UPS architecture</t>
  </si>
  <si>
    <t>EGEN</t>
  </si>
  <si>
    <t>Emergency Generator</t>
  </si>
  <si>
    <t>Emergency backup generator per NFPA 110</t>
  </si>
  <si>
    <t>GEN</t>
  </si>
  <si>
    <t>Generator Set</t>
  </si>
  <si>
    <t>Engine-driven generator per ISO 8528-1</t>
  </si>
  <si>
    <t>GGEN</t>
  </si>
  <si>
    <t>Gas Generator</t>
  </si>
  <si>
    <t>Natural gas engine generator</t>
  </si>
  <si>
    <t>LIBAT</t>
  </si>
  <si>
    <t>Lithium Battery</t>
  </si>
  <si>
    <t>Lithium-ion battery system per IEC 62619</t>
  </si>
  <si>
    <t>LIUPS</t>
  </si>
  <si>
    <t>Line Interactive UPS</t>
  </si>
  <si>
    <t>Line-interactive UPS topology per IEC 62040-3</t>
  </si>
  <si>
    <t>MUPS</t>
  </si>
  <si>
    <t>Modular UPS</t>
  </si>
  <si>
    <t>Modular scalable UPS per IEC 62040-3</t>
  </si>
  <si>
    <t>NIBAT</t>
  </si>
  <si>
    <t>NiCd Battery</t>
  </si>
  <si>
    <t>Nickel-cadmium battery per IEC 61951</t>
  </si>
  <si>
    <t>OUPS</t>
  </si>
  <si>
    <t>Online UPS</t>
  </si>
  <si>
    <t>Double-conversion online UPS per IEC 62040-3</t>
  </si>
  <si>
    <t>SGEN</t>
  </si>
  <si>
    <t>Standby Generator</t>
  </si>
  <si>
    <t>Standby power generator per ISO 8528-12</t>
  </si>
  <si>
    <t>SUPS</t>
  </si>
  <si>
    <t>Single UPS</t>
  </si>
  <si>
    <t>Single-module UPS system</t>
  </si>
  <si>
    <t>UPS</t>
  </si>
  <si>
    <t>Uninterruptible Power Supply</t>
  </si>
  <si>
    <t>UPS per IEC 62040 series</t>
  </si>
  <si>
    <t>VBAT</t>
  </si>
  <si>
    <t>VRLA Battery</t>
  </si>
  <si>
    <t>Valve-regulated lead-acid battery per IEC 60896</t>
  </si>
  <si>
    <t>SECTION 1.5 - CIRCUIT PROTECTION DEVICES per IEC 60947</t>
  </si>
  <si>
    <t>Air Circuit Breaker</t>
  </si>
  <si>
    <t>Air circuit breaker per IEC 60947-2</t>
  </si>
  <si>
    <t>DISO</t>
  </si>
  <si>
    <t>Distribution Isolator</t>
  </si>
  <si>
    <t>Load break isolator switch</t>
  </si>
  <si>
    <t>FISO</t>
  </si>
  <si>
    <t>Fused Isolator</t>
  </si>
  <si>
    <t>Fused disconnect switch per IEC 60947-3</t>
  </si>
  <si>
    <t>ISO</t>
  </si>
  <si>
    <t>Isolator</t>
  </si>
  <si>
    <t>Isolation switch per IEC 60947-3</t>
  </si>
  <si>
    <t>Miniature Circuit Breaker</t>
  </si>
  <si>
    <t>MCB per IEC 60898-1</t>
  </si>
  <si>
    <t>Moulded Case Circuit Breaker</t>
  </si>
  <si>
    <t>MCCB per IEC 60947-2</t>
  </si>
  <si>
    <t>MISO</t>
  </si>
  <si>
    <t>Main Isolator</t>
  </si>
  <si>
    <t>Main service isolation switch</t>
  </si>
  <si>
    <t>RCBO</t>
  </si>
  <si>
    <t>Residual Current Breaker + O/L</t>
  </si>
  <si>
    <t>RCD+overcurrent per IEC 61009</t>
  </si>
  <si>
    <t>RCCB</t>
  </si>
  <si>
    <t>Residual Current Circuit Breaker</t>
  </si>
  <si>
    <t>RCD per IEC 61008</t>
  </si>
  <si>
    <t>LAMP TECHNOLOGIES</t>
  </si>
  <si>
    <t>Code</t>
  </si>
  <si>
    <t>Description / Standard</t>
  </si>
  <si>
    <t>LED</t>
  </si>
  <si>
    <t>Light Emitting Diode</t>
  </si>
  <si>
    <t>LED technology per IEC 62031, high efficiency</t>
  </si>
  <si>
    <t>FL</t>
  </si>
  <si>
    <t>Fluorescent</t>
  </si>
  <si>
    <t>Fluorescent lamp technology</t>
  </si>
  <si>
    <t>HAL</t>
  </si>
  <si>
    <t>Halogen</t>
  </si>
  <si>
    <t>Halogen incandescent</t>
  </si>
  <si>
    <t>INC</t>
  </si>
  <si>
    <t>Incandescent</t>
  </si>
  <si>
    <t>Traditional incandescent</t>
  </si>
  <si>
    <t>HID</t>
  </si>
  <si>
    <t>High Intensity Discharge</t>
  </si>
  <si>
    <t>HID lamp (metal halide, HPS)</t>
  </si>
  <si>
    <t>HPS</t>
  </si>
  <si>
    <t>High Pressure Sodium</t>
  </si>
  <si>
    <t>HPS outdoor lighting</t>
  </si>
  <si>
    <t>MH</t>
  </si>
  <si>
    <t>Metal Halide</t>
  </si>
  <si>
    <t>Metal halide HID</t>
  </si>
  <si>
    <t>LPS</t>
  </si>
  <si>
    <t>Low Pressure Sodium</t>
  </si>
  <si>
    <t>LPS outdoor</t>
  </si>
  <si>
    <t>CFL</t>
  </si>
  <si>
    <t>Compact Fluorescent</t>
  </si>
  <si>
    <t>CFL lamp</t>
  </si>
  <si>
    <t>T5</t>
  </si>
  <si>
    <t>T5 Fluorescent</t>
  </si>
  <si>
    <t>T5 linear fluorescent</t>
  </si>
  <si>
    <t>T8</t>
  </si>
  <si>
    <t>T8 Fluorescent</t>
  </si>
  <si>
    <t>T8 linear fluorescent</t>
  </si>
  <si>
    <t>COLOR TEMPERATURES - Kelvin</t>
  </si>
  <si>
    <t>2700</t>
  </si>
  <si>
    <t>2700K</t>
  </si>
  <si>
    <t>Warm white - residential</t>
  </si>
  <si>
    <t>3000</t>
  </si>
  <si>
    <t>3000K</t>
  </si>
  <si>
    <t>Warm white - hospitality</t>
  </si>
  <si>
    <t>3500</t>
  </si>
  <si>
    <t>3500K</t>
  </si>
  <si>
    <t>Neutral white</t>
  </si>
  <si>
    <t>4000</t>
  </si>
  <si>
    <t>4000K</t>
  </si>
  <si>
    <t>Cool white - commercial</t>
  </si>
  <si>
    <t>4500</t>
  </si>
  <si>
    <t>4500K</t>
  </si>
  <si>
    <t>Daylight white</t>
  </si>
  <si>
    <t>5000</t>
  </si>
  <si>
    <t>5000K</t>
  </si>
  <si>
    <t>Daylight - retail</t>
  </si>
  <si>
    <t>5500</t>
  </si>
  <si>
    <t>5500K</t>
  </si>
  <si>
    <t>Daylight</t>
  </si>
  <si>
    <t>6000</t>
  </si>
  <si>
    <t>6000K</t>
  </si>
  <si>
    <t>Cool daylight - industrial</t>
  </si>
  <si>
    <t>6500</t>
  </si>
  <si>
    <t>6500K</t>
  </si>
  <si>
    <t>Daylight - graphics/medical</t>
  </si>
  <si>
    <t>CRI (Color Rendering Index) - CIE 13.3</t>
  </si>
  <si>
    <t>70</t>
  </si>
  <si>
    <t>CRI 70</t>
  </si>
  <si>
    <t>Minimum for general lighting</t>
  </si>
  <si>
    <t>75</t>
  </si>
  <si>
    <t>CRI 75</t>
  </si>
  <si>
    <t>Better color rendering</t>
  </si>
  <si>
    <t>CRI 80</t>
  </si>
  <si>
    <t>Good - commercial standard</t>
  </si>
  <si>
    <t>85</t>
  </si>
  <si>
    <t>CRI 85</t>
  </si>
  <si>
    <t>Very good - retail</t>
  </si>
  <si>
    <t>90</t>
  </si>
  <si>
    <t>CRI 90</t>
  </si>
  <si>
    <t>Excellent - art galleries</t>
  </si>
  <si>
    <t>95</t>
  </si>
  <si>
    <t>CRI 95</t>
  </si>
  <si>
    <t>Superior - museums</t>
  </si>
  <si>
    <t>97</t>
  </si>
  <si>
    <t>CRI 97</t>
  </si>
  <si>
    <t>Premium - medical/graphics</t>
  </si>
  <si>
    <t>WIRE/CABLE SIZES - mm² (IEC 60228)</t>
  </si>
  <si>
    <t>1.5</t>
  </si>
  <si>
    <t>1.5mm²</t>
  </si>
  <si>
    <t>2.5</t>
  </si>
  <si>
    <t>2.5mm²</t>
  </si>
  <si>
    <t>Power sockets</t>
  </si>
  <si>
    <t>4</t>
  </si>
  <si>
    <t>4mm²</t>
  </si>
  <si>
    <t>Higher load circuits</t>
  </si>
  <si>
    <t>6</t>
  </si>
  <si>
    <t>6mm²</t>
  </si>
  <si>
    <t>Cooker/water heater</t>
  </si>
  <si>
    <t>10mm²</t>
  </si>
  <si>
    <t>16mm²</t>
  </si>
  <si>
    <t>25mm²</t>
  </si>
  <si>
    <t>35</t>
  </si>
  <si>
    <t>35mm²</t>
  </si>
  <si>
    <t>Large loads</t>
  </si>
  <si>
    <t>50</t>
  </si>
  <si>
    <t>50mm²</t>
  </si>
  <si>
    <t>70mm²</t>
  </si>
  <si>
    <t>95mm²</t>
  </si>
  <si>
    <t>120</t>
  </si>
  <si>
    <t>120mm²</t>
  </si>
  <si>
    <t>150</t>
  </si>
  <si>
    <t>150mm²</t>
  </si>
  <si>
    <t>Large capacity</t>
  </si>
  <si>
    <t>185</t>
  </si>
  <si>
    <t>185mm²</t>
  </si>
  <si>
    <t>Heavy capacity</t>
  </si>
  <si>
    <t>240</t>
  </si>
  <si>
    <t>240mm²</t>
  </si>
  <si>
    <t>300</t>
  </si>
  <si>
    <t>300mm²</t>
  </si>
  <si>
    <t>Large main</t>
  </si>
  <si>
    <t>CIRCUIT BREAKER RATINGS - Amperes</t>
  </si>
  <si>
    <t>6A</t>
  </si>
  <si>
    <t>Small lighting circuits</t>
  </si>
  <si>
    <t>10A</t>
  </si>
  <si>
    <t>16A</t>
  </si>
  <si>
    <t>Lighting/small power</t>
  </si>
  <si>
    <t>20A</t>
  </si>
  <si>
    <t>25A</t>
  </si>
  <si>
    <t>32A</t>
  </si>
  <si>
    <t>Cooker/heavy loads</t>
  </si>
  <si>
    <t>40</t>
  </si>
  <si>
    <t>40A</t>
  </si>
  <si>
    <t>50A</t>
  </si>
  <si>
    <t>63A</t>
  </si>
  <si>
    <t>80A</t>
  </si>
  <si>
    <t>100A</t>
  </si>
  <si>
    <t>125</t>
  </si>
  <si>
    <t>125A</t>
  </si>
  <si>
    <t>Main panels</t>
  </si>
  <si>
    <t>160A</t>
  </si>
  <si>
    <t>Large distribution</t>
  </si>
  <si>
    <t>200</t>
  </si>
  <si>
    <t>200A</t>
  </si>
  <si>
    <t>250</t>
  </si>
  <si>
    <t>250A</t>
  </si>
  <si>
    <t>400</t>
  </si>
  <si>
    <t>400A</t>
  </si>
  <si>
    <t>VOLTAGE CLASSIFICATIONS - IEC 60038</t>
  </si>
  <si>
    <t>11000</t>
  </si>
  <si>
    <t>11kV (MV)</t>
  </si>
  <si>
    <t>Medium voltage 11,000V distribution</t>
  </si>
  <si>
    <t>6600</t>
  </si>
  <si>
    <t>6.6kV (MV)</t>
  </si>
  <si>
    <t>Medium voltage 6,600V</t>
  </si>
  <si>
    <t>3300</t>
  </si>
  <si>
    <t>3.3kV (MV)</t>
  </si>
  <si>
    <t>Medium voltage 3,300V</t>
  </si>
  <si>
    <t>415</t>
  </si>
  <si>
    <t>415V (LV)</t>
  </si>
  <si>
    <t>Three-phase 415V per IEC 60038</t>
  </si>
  <si>
    <t>400V (LV)</t>
  </si>
  <si>
    <t>Three-phase 400V European standard</t>
  </si>
  <si>
    <t>240V (LV)</t>
  </si>
  <si>
    <t>Single-phase 240V</t>
  </si>
  <si>
    <t>230</t>
  </si>
  <si>
    <t>230V (LV)</t>
  </si>
  <si>
    <t>Single-phase 230V IEC standard</t>
  </si>
  <si>
    <t>220</t>
  </si>
  <si>
    <t>220V (LV)</t>
  </si>
  <si>
    <t>Single-phase 220V</t>
  </si>
  <si>
    <t>110</t>
  </si>
  <si>
    <t>110V (LV)</t>
  </si>
  <si>
    <t>Reduced low voltage 110V</t>
  </si>
  <si>
    <t>48</t>
  </si>
  <si>
    <t>48V (ELV)</t>
  </si>
  <si>
    <t>Extra low voltage 48V DC</t>
  </si>
  <si>
    <t>24</t>
  </si>
  <si>
    <t>24V (ELV)</t>
  </si>
  <si>
    <t>Control voltage 24V DC/AC</t>
  </si>
  <si>
    <t>12</t>
  </si>
  <si>
    <t>12V (ELV)</t>
  </si>
  <si>
    <t>Extra low voltage 12V</t>
  </si>
  <si>
    <t>PHASE TYPES - IEC 60038</t>
  </si>
  <si>
    <t>1PH</t>
  </si>
  <si>
    <t>Single-phase AC power</t>
  </si>
  <si>
    <t>3PH</t>
  </si>
  <si>
    <t>Three Phase</t>
  </si>
  <si>
    <t>Three-phase AC power per IEC 60038</t>
  </si>
  <si>
    <t>DC</t>
  </si>
  <si>
    <t>Direct Current</t>
  </si>
  <si>
    <t>DC power supply</t>
  </si>
  <si>
    <t>CIRCUIT LOAD TYPES</t>
  </si>
  <si>
    <t>LTG</t>
  </si>
  <si>
    <t>Lighting</t>
  </si>
  <si>
    <t>PWR</t>
  </si>
  <si>
    <t>Power</t>
  </si>
  <si>
    <t>General power circuits</t>
  </si>
  <si>
    <t>HVAC</t>
  </si>
  <si>
    <t>HVAC equipment circuits</t>
  </si>
  <si>
    <t>EMG</t>
  </si>
  <si>
    <t>Emergency</t>
  </si>
  <si>
    <t>Emergency power circuits</t>
  </si>
  <si>
    <t>ESS</t>
  </si>
  <si>
    <t>Essential</t>
  </si>
  <si>
    <t>Essential services circuits</t>
  </si>
  <si>
    <t>IT</t>
  </si>
  <si>
    <t>Information Technology</t>
  </si>
  <si>
    <t>IT/data center circuits</t>
  </si>
  <si>
    <t>KIT</t>
  </si>
  <si>
    <t>Kitchen</t>
  </si>
  <si>
    <t>Commercial kitchen circuits</t>
  </si>
  <si>
    <t>MECH</t>
  </si>
  <si>
    <t>Mechanical</t>
  </si>
  <si>
    <t>Mechanical equipment power</t>
  </si>
  <si>
    <t>MISC</t>
  </si>
  <si>
    <t>Miscellaneous</t>
  </si>
  <si>
    <t>General miscellaneous loads</t>
  </si>
  <si>
    <t>MOUNTING TYPES</t>
  </si>
  <si>
    <t>SM</t>
  </si>
  <si>
    <t>Surface Mount</t>
  </si>
  <si>
    <t>Surface-mounted installation</t>
  </si>
  <si>
    <t>RC</t>
  </si>
  <si>
    <t>Recessed</t>
  </si>
  <si>
    <t>Recessed/flush installation</t>
  </si>
  <si>
    <t>PD</t>
  </si>
  <si>
    <t>Pendant</t>
  </si>
  <si>
    <t>Suspended pendant mounting</t>
  </si>
  <si>
    <t>WM</t>
  </si>
  <si>
    <t>Wall Mount</t>
  </si>
  <si>
    <t>Wall-mounted installation</t>
  </si>
  <si>
    <t>CM</t>
  </si>
  <si>
    <t>Ceiling Mount</t>
  </si>
  <si>
    <t>Ceiling-mounted installation</t>
  </si>
  <si>
    <t>FM</t>
  </si>
  <si>
    <t>Floor Mount</t>
  </si>
  <si>
    <t>Floor-standing installation</t>
  </si>
  <si>
    <t>RM</t>
  </si>
  <si>
    <t>Roof Mount</t>
  </si>
  <si>
    <t>Roof-mounted installation</t>
  </si>
  <si>
    <t>PM</t>
  </si>
  <si>
    <t>Pole Mount</t>
  </si>
  <si>
    <t>Pole-mounted installation</t>
  </si>
  <si>
    <t>TM</t>
  </si>
  <si>
    <t>Track Mount</t>
  </si>
  <si>
    <t>Track-mounted system</t>
  </si>
  <si>
    <t>BL</t>
  </si>
  <si>
    <t>Bollard</t>
  </si>
  <si>
    <t>Bollard-type installation</t>
  </si>
  <si>
    <t>SP</t>
  </si>
  <si>
    <t>Suspended</t>
  </si>
  <si>
    <t>Suspended from structure</t>
  </si>
  <si>
    <t>CC</t>
  </si>
  <si>
    <t>Concealed</t>
  </si>
  <si>
    <t>Concealed installation</t>
  </si>
  <si>
    <t>EX</t>
  </si>
  <si>
    <t>Exposed</t>
  </si>
  <si>
    <t>Exposed installation</t>
  </si>
  <si>
    <t>CS</t>
  </si>
  <si>
    <t>Cassette</t>
  </si>
  <si>
    <t>Cassette-type installation</t>
  </si>
  <si>
    <t>Ducted</t>
  </si>
  <si>
    <t>Ducted concealed system</t>
  </si>
  <si>
    <t>CABLE INSTALLATION METHODS - IEC 60364-5-52</t>
  </si>
  <si>
    <t>Conduit</t>
  </si>
  <si>
    <t>Installed in conduit per IEC 60364-5-52</t>
  </si>
  <si>
    <t>Tray</t>
  </si>
  <si>
    <t>Cable Tray</t>
  </si>
  <si>
    <t>On cable tray system</t>
  </si>
  <si>
    <t>Trunking</t>
  </si>
  <si>
    <t>Cable Trunking</t>
  </si>
  <si>
    <t>In cable trunking</t>
  </si>
  <si>
    <t>Ladder</t>
  </si>
  <si>
    <t>Cable Ladder</t>
  </si>
  <si>
    <t>On cable ladder</t>
  </si>
  <si>
    <t>Buried</t>
  </si>
  <si>
    <t>Direct Buried</t>
  </si>
  <si>
    <t>Direct buried underground</t>
  </si>
  <si>
    <t>Underground</t>
  </si>
  <si>
    <t>Underground installation</t>
  </si>
  <si>
    <t>Overhead</t>
  </si>
  <si>
    <t>Overhead installation</t>
  </si>
  <si>
    <t>Clipped Direct</t>
  </si>
  <si>
    <t>Clipped directly to surface</t>
  </si>
  <si>
    <t>IP RATINGS - IEC 60529 (Ingress Protection)</t>
  </si>
  <si>
    <t>Rating</t>
  </si>
  <si>
    <t>Typical Applications</t>
  </si>
  <si>
    <t>Protected against solid objects &gt;12.5mm</t>
  </si>
  <si>
    <t>Indoor switchboards, general indoor use</t>
  </si>
  <si>
    <t>IP21</t>
  </si>
  <si>
    <t>IP20 + dripping water (vertical)</t>
  </si>
  <si>
    <t>Indoor equipment in damp locations</t>
  </si>
  <si>
    <t>IP22</t>
  </si>
  <si>
    <t>IP20 + dripping water (15° tilt)</t>
  </si>
  <si>
    <t>Indoor with condensation risk</t>
  </si>
  <si>
    <t>IP40</t>
  </si>
  <si>
    <t>Protected against solid objects &gt;1mm</t>
  </si>
  <si>
    <t>Indoor equipment rooms</t>
  </si>
  <si>
    <t>IP44</t>
  </si>
  <si>
    <t>IP40 + splashing water</t>
  </si>
  <si>
    <t>Outdoor/indoor damp locations</t>
  </si>
  <si>
    <t>Dust protected + splashing water</t>
  </si>
  <si>
    <t>Industrial, some dust exposure</t>
  </si>
  <si>
    <t>IP55</t>
  </si>
  <si>
    <t>Dust protected + water jets</t>
  </si>
  <si>
    <t>Industrial wash-down areas</t>
  </si>
  <si>
    <t>IP65</t>
  </si>
  <si>
    <t>Dust tight + water jets</t>
  </si>
  <si>
    <t>Outdoor equipment, complete dust protection</t>
  </si>
  <si>
    <t>IP66</t>
  </si>
  <si>
    <t>Dust tight + powerful water jets</t>
  </si>
  <si>
    <t>Marine, heavy wash-down</t>
  </si>
  <si>
    <t>IP67</t>
  </si>
  <si>
    <t>Dust tight + temporary immersion</t>
  </si>
  <si>
    <t>Submersible equipment (temporary)</t>
  </si>
  <si>
    <t>IP68</t>
  </si>
  <si>
    <t>Dust tight + continuous immersion</t>
  </si>
  <si>
    <t>Permanent submersion applications</t>
  </si>
  <si>
    <t>ADDITIONAL TECHNICAL DATA</t>
  </si>
  <si>
    <t>Classification</t>
  </si>
  <si>
    <t>Voltage Range</t>
  </si>
  <si>
    <t>ELV</t>
  </si>
  <si>
    <t>Extra Low Voltage: ≤50V AC / ≤120V DC</t>
  </si>
  <si>
    <t>Control systems, telecommunications, BMS</t>
  </si>
  <si>
    <t>Low Voltage: 50-1000V AC / 120-1500V DC</t>
  </si>
  <si>
    <t>Building distribution, 230V/400V/480V systems</t>
  </si>
  <si>
    <t>MV</t>
  </si>
  <si>
    <t>Medium Voltage: 1kV-35kV</t>
  </si>
  <si>
    <t>Campus distribution, large facilities, substations</t>
  </si>
  <si>
    <t>HV</t>
  </si>
  <si>
    <t>High Voltage: &gt;35kV</t>
  </si>
  <si>
    <t>Utility transmission, not typical in buildings</t>
  </si>
  <si>
    <t>UGANDA ELECTRICAL STANDARDS - TECHNICAL CODES &amp; SPECIFICATIONS</t>
  </si>
  <si>
    <t>STANDARD CURRENT RATINGS (IEC 60269)</t>
  </si>
  <si>
    <t>Fuse Type</t>
  </si>
  <si>
    <t>Breaking Capacity</t>
  </si>
  <si>
    <t>gG</t>
  </si>
  <si>
    <t>Signal/Control</t>
  </si>
  <si>
    <t>50kA</t>
  </si>
  <si>
    <t>IEC 60269-2</t>
  </si>
  <si>
    <t>Small control</t>
  </si>
  <si>
    <t>Control</t>
  </si>
  <si>
    <t>Mixed</t>
  </si>
  <si>
    <t>General power</t>
  </si>
  <si>
    <t>UK ring main</t>
  </si>
  <si>
    <t>Ring circuit</t>
  </si>
  <si>
    <t>BS 1362</t>
  </si>
  <si>
    <t>Standard sockets</t>
  </si>
  <si>
    <t>Heavy appliances</t>
  </si>
  <si>
    <t>80kA</t>
  </si>
  <si>
    <t>Sub-circuits</t>
  </si>
  <si>
    <t>100kA</t>
  </si>
  <si>
    <t>Sub-main</t>
  </si>
  <si>
    <t>Main</t>
  </si>
  <si>
    <t>120kA</t>
  </si>
  <si>
    <t>Incoming</t>
  </si>
  <si>
    <t>CONDUIT SIZES (IEC 61386)</t>
  </si>
  <si>
    <t>Conduit Size (mm)</t>
  </si>
  <si>
    <t>Internal Diameter</t>
  </si>
  <si>
    <t>Max Cable Fill</t>
  </si>
  <si>
    <t>Typical Cable Capacity</t>
  </si>
  <si>
    <t>Material</t>
  </si>
  <si>
    <t>16mm</t>
  </si>
  <si>
    <t>13mm</t>
  </si>
  <si>
    <t>40%</t>
  </si>
  <si>
    <t>2×2.5mm² or 3×1.5mm²</t>
  </si>
  <si>
    <t>Small installations</t>
  </si>
  <si>
    <t>PVC/Steel</t>
  </si>
  <si>
    <t>20mm</t>
  </si>
  <si>
    <t>3×2.5mm² or 4×1.5mm²</t>
  </si>
  <si>
    <t>25mm</t>
  </si>
  <si>
    <t>21mm</t>
  </si>
  <si>
    <t>4×2.5mm² or 6×1.5mm²</t>
  </si>
  <si>
    <t>32mm</t>
  </si>
  <si>
    <t>28mm</t>
  </si>
  <si>
    <t>6×2.5mm² or 3×4mm²</t>
  </si>
  <si>
    <t>Standard distribution</t>
  </si>
  <si>
    <t>40mm</t>
  </si>
  <si>
    <t>35mm</t>
  </si>
  <si>
    <t>8×2.5mm² or 4×6mm²</t>
  </si>
  <si>
    <t>Heavy circuits</t>
  </si>
  <si>
    <t>50mm</t>
  </si>
  <si>
    <t>44mm</t>
  </si>
  <si>
    <t>12×2.5mm² or 6×6mm²</t>
  </si>
  <si>
    <t>63mm</t>
  </si>
  <si>
    <t>56mm</t>
  </si>
  <si>
    <t>16×2.5mm² or 8×6mm²</t>
  </si>
  <si>
    <t>75mm</t>
  </si>
  <si>
    <t>67mm</t>
  </si>
  <si>
    <t>3×16mm² or 20×2.5mm²</t>
  </si>
  <si>
    <t>90mm</t>
  </si>
  <si>
    <t>81mm</t>
  </si>
  <si>
    <t>4×25mm² or 3×35mm²</t>
  </si>
  <si>
    <t>100mm</t>
  </si>
  <si>
    <t>4×35mm² or 3×50mm²</t>
  </si>
  <si>
    <t>CABLE CORES &amp; CONFIGURATIONS (IEC 60228)</t>
  </si>
  <si>
    <t>Core Code</t>
  </si>
  <si>
    <t>Description</t>
  </si>
  <si>
    <t>Typical Use</t>
  </si>
  <si>
    <t>Phase Config</t>
  </si>
  <si>
    <t>Color Code</t>
  </si>
  <si>
    <t>1C</t>
  </si>
  <si>
    <t>Single core cable</t>
  </si>
  <si>
    <t>Phase/Neutral/Earth</t>
  </si>
  <si>
    <t>Single conductor</t>
  </si>
  <si>
    <t>Brown/Blue/G-Y</t>
  </si>
  <si>
    <t>IEC 60446</t>
  </si>
  <si>
    <t>2C</t>
  </si>
  <si>
    <t>Two core cable</t>
  </si>
  <si>
    <t>1-phase with neutral</t>
  </si>
  <si>
    <t>L+N</t>
  </si>
  <si>
    <t>Brown, Blue</t>
  </si>
  <si>
    <t>3C</t>
  </si>
  <si>
    <t>Three core cable</t>
  </si>
  <si>
    <t>1-phase + earth or 3-phase</t>
  </si>
  <si>
    <t>L,N,E or 3L</t>
  </si>
  <si>
    <t>Brown,Blue,G-Y or Brown,Black,Grey</t>
  </si>
  <si>
    <t>4C</t>
  </si>
  <si>
    <t>Four core cable</t>
  </si>
  <si>
    <t>3-phase with neutral</t>
  </si>
  <si>
    <t>3L+N</t>
  </si>
  <si>
    <t>Brown,Black,Grey,Blue</t>
  </si>
  <si>
    <t>5C</t>
  </si>
  <si>
    <t>Five core cable</t>
  </si>
  <si>
    <t>3-phase with N+E</t>
  </si>
  <si>
    <t>3L+N+E</t>
  </si>
  <si>
    <t>Brown,Black,Grey,Blue,G-Y</t>
  </si>
  <si>
    <t>3C+E</t>
  </si>
  <si>
    <t>Three core plus earth</t>
  </si>
  <si>
    <t>3-phase with separate earth</t>
  </si>
  <si>
    <t>3L+E</t>
  </si>
  <si>
    <t>Brown,Black,Grey + G-Y</t>
  </si>
  <si>
    <t>4C+E</t>
  </si>
  <si>
    <t>Four core plus earth</t>
  </si>
  <si>
    <t>Brown,Black,Grey,Blue + G-Y</t>
  </si>
  <si>
    <t>7C</t>
  </si>
  <si>
    <t>Seven core cable</t>
  </si>
  <si>
    <t>Control/instrumentation</t>
  </si>
  <si>
    <t>Multi-signal</t>
  </si>
  <si>
    <t>Various</t>
  </si>
  <si>
    <t>12C</t>
  </si>
  <si>
    <t>Twelve core cable</t>
  </si>
  <si>
    <t>Complex control</t>
  </si>
  <si>
    <t>Numbered</t>
  </si>
  <si>
    <t>19C</t>
  </si>
  <si>
    <t>Nineteen core cable</t>
  </si>
  <si>
    <t>Instrumentation</t>
  </si>
  <si>
    <t>SWITCH TYPES &amp; CONFIGURATIONS</t>
  </si>
  <si>
    <t>Switch Code</t>
  </si>
  <si>
    <t>Gang Configuration</t>
  </si>
  <si>
    <t>Typical Rating</t>
  </si>
  <si>
    <t>1G-SW</t>
  </si>
  <si>
    <t>Single gang switch</t>
  </si>
  <si>
    <t>1 gang</t>
  </si>
  <si>
    <t>10A/16A</t>
  </si>
  <si>
    <t>Single circuit control</t>
  </si>
  <si>
    <t>IEC 60669-1</t>
  </si>
  <si>
    <t>2G-SW</t>
  </si>
  <si>
    <t>Double gang switch</t>
  </si>
  <si>
    <t>2 gang</t>
  </si>
  <si>
    <t>Two circuit control</t>
  </si>
  <si>
    <t>3G-SW</t>
  </si>
  <si>
    <t>Triple gang switch</t>
  </si>
  <si>
    <t>3 gang</t>
  </si>
  <si>
    <t>Three circuit control</t>
  </si>
  <si>
    <t>4G-SW</t>
  </si>
  <si>
    <t>Four gang switch</t>
  </si>
  <si>
    <t>4 gang</t>
  </si>
  <si>
    <t>Four circuit control</t>
  </si>
  <si>
    <t>ISO-SW</t>
  </si>
  <si>
    <t>Isolation switch</t>
  </si>
  <si>
    <t>N/A</t>
  </si>
  <si>
    <t>20A-63A</t>
  </si>
  <si>
    <t>Circuit isolation</t>
  </si>
  <si>
    <t>IEC 60947-3</t>
  </si>
  <si>
    <t>DIM-SW</t>
  </si>
  <si>
    <t>Dimmer switch</t>
  </si>
  <si>
    <t>1-4 gang</t>
  </si>
  <si>
    <t>200W-1000W</t>
  </si>
  <si>
    <t>Light dimming</t>
  </si>
  <si>
    <t>IEC 60669-2-1</t>
  </si>
  <si>
    <t>TIM-SW</t>
  </si>
  <si>
    <t>Timer switch</t>
  </si>
  <si>
    <t>Time-based control</t>
  </si>
  <si>
    <t>IEC 60730</t>
  </si>
  <si>
    <t>PIR-SW</t>
  </si>
  <si>
    <t>Motion sensor switch</t>
  </si>
  <si>
    <t>Occupancy detection</t>
  </si>
  <si>
    <t>IEC 60669-2-3</t>
  </si>
  <si>
    <t>2W-SW</t>
  </si>
  <si>
    <t>Two-way switch</t>
  </si>
  <si>
    <t>Multi-point control</t>
  </si>
  <si>
    <t>INT-SW</t>
  </si>
  <si>
    <t>Intermediate switch</t>
  </si>
  <si>
    <t>3+ point control</t>
  </si>
  <si>
    <t>PULL-SW</t>
  </si>
  <si>
    <t>Pull cord switch</t>
  </si>
  <si>
    <t>Bathroom lighting</t>
  </si>
  <si>
    <t>KEY-SW</t>
  </si>
  <si>
    <t>Key switch</t>
  </si>
  <si>
    <t>Secure control</t>
  </si>
  <si>
    <t>POLE CONFIGURATIONS (IEC 60947)</t>
  </si>
  <si>
    <t>Pole Config</t>
  </si>
  <si>
    <t>Phase Coverage</t>
  </si>
  <si>
    <t>Typical Voltage</t>
  </si>
  <si>
    <t>1P</t>
  </si>
  <si>
    <t>Single pole</t>
  </si>
  <si>
    <t>Phase only</t>
  </si>
  <si>
    <t>AC single phase (phase switching)</t>
  </si>
  <si>
    <t>IEC 60947-2</t>
  </si>
  <si>
    <t>2P</t>
  </si>
  <si>
    <t>Double pole / 2-pole</t>
  </si>
  <si>
    <t>Phase + Neutral</t>
  </si>
  <si>
    <t>AC single phase (full isolation)</t>
  </si>
  <si>
    <t>3P</t>
  </si>
  <si>
    <t>Three pole / 3-pole</t>
  </si>
  <si>
    <t>Three phases</t>
  </si>
  <si>
    <t>AC three phase (no neutral)</t>
  </si>
  <si>
    <t>3P+N</t>
  </si>
  <si>
    <t>Three pole plus neutral</t>
  </si>
  <si>
    <t>Three phases + Neutral</t>
  </si>
  <si>
    <t>AC three phase with switched neutral</t>
  </si>
  <si>
    <t>4P</t>
  </si>
  <si>
    <t>Four pole</t>
  </si>
  <si>
    <t>AC three phase (full isolation)</t>
  </si>
  <si>
    <t>1P+N</t>
  </si>
  <si>
    <t>Single pole plus neutral</t>
  </si>
  <si>
    <t>Single phase with neutral switching</t>
  </si>
  <si>
    <t>UGANDA ELECTRICAL STANDARDS - FIXTURES, DEVICES &amp; MATERIALS</t>
  </si>
  <si>
    <t>ELECTRICAL FIXTURE TYPES (IEC 60598)</t>
  </si>
  <si>
    <t>Fixture Code</t>
  </si>
  <si>
    <t>Fixture Type</t>
  </si>
  <si>
    <t>Mounting</t>
  </si>
  <si>
    <t>IP Rating</t>
  </si>
  <si>
    <t>REC</t>
  </si>
  <si>
    <t>Recessed Fixture</t>
  </si>
  <si>
    <t>Ceiling recessed downlight</t>
  </si>
  <si>
    <t>IP20-IP44</t>
  </si>
  <si>
    <t>Indoor ceilings</t>
  </si>
  <si>
    <t>IEC 60598-2-2</t>
  </si>
  <si>
    <t>SUR</t>
  </si>
  <si>
    <t>Surface Fixture</t>
  </si>
  <si>
    <t>Surface mounted luminaire</t>
  </si>
  <si>
    <t>Surface</t>
  </si>
  <si>
    <t>IP20-IP65</t>
  </si>
  <si>
    <t>Walls/ceilings</t>
  </si>
  <si>
    <t>IEC 60598-1</t>
  </si>
  <si>
    <t>PEN</t>
  </si>
  <si>
    <t>Pendant Fixture</t>
  </si>
  <si>
    <t>Suspended pendant light</t>
  </si>
  <si>
    <t>Indoor spaces</t>
  </si>
  <si>
    <t>TRK</t>
  </si>
  <si>
    <t>Track Fixture</t>
  </si>
  <si>
    <t>Track-mounted spotlight</t>
  </si>
  <si>
    <t>Track</t>
  </si>
  <si>
    <t>Retail/display</t>
  </si>
  <si>
    <t>WAL</t>
  </si>
  <si>
    <t>Wall Fixture</t>
  </si>
  <si>
    <t>Wall-mounted luminaire</t>
  </si>
  <si>
    <t>Wall</t>
  </si>
  <si>
    <t>IP44-IP65</t>
  </si>
  <si>
    <t>Indoor/outdoor walls</t>
  </si>
  <si>
    <t>FLR</t>
  </si>
  <si>
    <t>Floor Fixture</t>
  </si>
  <si>
    <t>Floor-standing lamp</t>
  </si>
  <si>
    <t>Floor</t>
  </si>
  <si>
    <t>UDR</t>
  </si>
  <si>
    <t>Under-cabinet Fixture</t>
  </si>
  <si>
    <t>Under-cabinet light</t>
  </si>
  <si>
    <t>Under-mount</t>
  </si>
  <si>
    <t>Kitchens</t>
  </si>
  <si>
    <t>EXT</t>
  </si>
  <si>
    <t>Exterior Fixture</t>
  </si>
  <si>
    <t>Outdoor luminaire</t>
  </si>
  <si>
    <t>Wall/pole</t>
  </si>
  <si>
    <t>IP65-IP67</t>
  </si>
  <si>
    <t>Outdoor</t>
  </si>
  <si>
    <t>IEC 60598-2-3</t>
  </si>
  <si>
    <t>Emergency Fixture</t>
  </si>
  <si>
    <t>Emergency lighting</t>
  </si>
  <si>
    <t>Exit/emergency</t>
  </si>
  <si>
    <t>IEC 60598-2-22</t>
  </si>
  <si>
    <t>IND</t>
  </si>
  <si>
    <t>Industrial Fixture</t>
  </si>
  <si>
    <t>High-bay/low-bay</t>
  </si>
  <si>
    <t>Suspended/chain</t>
  </si>
  <si>
    <t>Warehouses/factories</t>
  </si>
  <si>
    <t>IEC 60598-2-5</t>
  </si>
  <si>
    <t>STR</t>
  </si>
  <si>
    <t>Street Fixture</t>
  </si>
  <si>
    <t>Street light/post-top</t>
  </si>
  <si>
    <t>Pole-mount</t>
  </si>
  <si>
    <t>Roads/parking</t>
  </si>
  <si>
    <t>FLD</t>
  </si>
  <si>
    <t>Floodlight Fixture</t>
  </si>
  <si>
    <t>Wide-area floodlight</t>
  </si>
  <si>
    <t>Ground/wall</t>
  </si>
  <si>
    <t>Sports/security</t>
  </si>
  <si>
    <t>ELECTRICAL DEVICE TYPES (IEC 60884 / IEC 60669)</t>
  </si>
  <si>
    <t>Device Code</t>
  </si>
  <si>
    <t>Device Type</t>
  </si>
  <si>
    <t>Configuration</t>
  </si>
  <si>
    <t>SKT</t>
  </si>
  <si>
    <t>Socket Outlet</t>
  </si>
  <si>
    <t>Power socket outlet</t>
  </si>
  <si>
    <t>13A/16A</t>
  </si>
  <si>
    <t>1-gang to 4-gang</t>
  </si>
  <si>
    <t>IEC 60884-1</t>
  </si>
  <si>
    <t>SKT-USB</t>
  </si>
  <si>
    <t>Socket with USB</t>
  </si>
  <si>
    <t>Socket with USB charging</t>
  </si>
  <si>
    <t>13A+USB</t>
  </si>
  <si>
    <t>1-2 gang + USB</t>
  </si>
  <si>
    <t>Device charging</t>
  </si>
  <si>
    <t>SKT-RCD</t>
  </si>
  <si>
    <t>RCD Socket</t>
  </si>
  <si>
    <t>Socket with RCD protection</t>
  </si>
  <si>
    <t>With 30mA RCD</t>
  </si>
  <si>
    <t>Wet areas</t>
  </si>
  <si>
    <t>IEC 61008</t>
  </si>
  <si>
    <t>SKT-IP</t>
  </si>
  <si>
    <t>Weatherproof Socket</t>
  </si>
  <si>
    <t>IP-rated outdoor socket</t>
  </si>
  <si>
    <t>IP44-IP66</t>
  </si>
  <si>
    <t>Outdoor use</t>
  </si>
  <si>
    <t>SW-1G</t>
  </si>
  <si>
    <t>1-Gang Switch</t>
  </si>
  <si>
    <t>Single switch</t>
  </si>
  <si>
    <t>1-way/2-way</t>
  </si>
  <si>
    <t>Lighting control</t>
  </si>
  <si>
    <t>SW-2G</t>
  </si>
  <si>
    <t>2-Gang Switch</t>
  </si>
  <si>
    <t>Double switch</t>
  </si>
  <si>
    <t>Multi-circuit</t>
  </si>
  <si>
    <t>SW-DIM</t>
  </si>
  <si>
    <t>Dimmer Switch</t>
  </si>
  <si>
    <t>Light dimmer control</t>
  </si>
  <si>
    <t>200W-1kW</t>
  </si>
  <si>
    <t>Rotary/push</t>
  </si>
  <si>
    <t>Lighting dimming</t>
  </si>
  <si>
    <t>SW-PIR</t>
  </si>
  <si>
    <t>PIR Switch</t>
  </si>
  <si>
    <t>Automatic</t>
  </si>
  <si>
    <t>Occupancy control</t>
  </si>
  <si>
    <t>SW-TIM</t>
  </si>
  <si>
    <t>Timer Switch</t>
  </si>
  <si>
    <t>Time delay switch</t>
  </si>
  <si>
    <t>Programmable</t>
  </si>
  <si>
    <t>Timed control</t>
  </si>
  <si>
    <t>TERM</t>
  </si>
  <si>
    <t>Terminal Block</t>
  </si>
  <si>
    <t>Connection terminal</t>
  </si>
  <si>
    <t>Varies</t>
  </si>
  <si>
    <t>2-12 pole</t>
  </si>
  <si>
    <t>Cable termination</t>
  </si>
  <si>
    <t>IEC 60947-7-1</t>
  </si>
  <si>
    <t>Load isolator</t>
  </si>
  <si>
    <t>20A-100A</t>
  </si>
  <si>
    <t>Rotary/toggle</t>
  </si>
  <si>
    <t>FCU</t>
  </si>
  <si>
    <t>Fused Connection Unit</t>
  </si>
  <si>
    <t>Fused spur</t>
  </si>
  <si>
    <t>13A</t>
  </si>
  <si>
    <t>With fuse</t>
  </si>
  <si>
    <t>Fixed appliances</t>
  </si>
  <si>
    <t>BS 1363</t>
  </si>
  <si>
    <t>CCU</t>
  </si>
  <si>
    <t>Clock Connector</t>
  </si>
  <si>
    <t>Clock/timer connector</t>
  </si>
  <si>
    <t>3A</t>
  </si>
  <si>
    <t>Unswitched</t>
  </si>
  <si>
    <t>Clock circuits</t>
  </si>
  <si>
    <t>IEC 60884</t>
  </si>
  <si>
    <t>SHAV</t>
  </si>
  <si>
    <t>Shaver Socket</t>
  </si>
  <si>
    <t>Bathroom shaver socket</t>
  </si>
  <si>
    <t>1A</t>
  </si>
  <si>
    <t>Isolated transformer</t>
  </si>
  <si>
    <t>Shavers/toothbrushes</t>
  </si>
  <si>
    <t>IEC 61558-2-5</t>
  </si>
  <si>
    <t>TEL</t>
  </si>
  <si>
    <t>Telephone Socket</t>
  </si>
  <si>
    <t>Telephone outlet</t>
  </si>
  <si>
    <t>RJ11</t>
  </si>
  <si>
    <t>Landline phones</t>
  </si>
  <si>
    <t>IEC 60603-7</t>
  </si>
  <si>
    <t>DATA</t>
  </si>
  <si>
    <t>Data Socket</t>
  </si>
  <si>
    <t>Network data outlet</t>
  </si>
  <si>
    <t>RJ45 Cat5e/6</t>
  </si>
  <si>
    <t>Data networks</t>
  </si>
  <si>
    <t>TV</t>
  </si>
  <si>
    <t>TV/Satellite Socket</t>
  </si>
  <si>
    <t>Coaxial TV outlet</t>
  </si>
  <si>
    <t>Coaxial</t>
  </si>
  <si>
    <t>TV/satellite</t>
  </si>
  <si>
    <t>IEC 61169-2</t>
  </si>
  <si>
    <t>BELL</t>
  </si>
  <si>
    <t>Bell Push</t>
  </si>
  <si>
    <t>Doorbell button</t>
  </si>
  <si>
    <t>Momentary</t>
  </si>
  <si>
    <t>Doorbells</t>
  </si>
  <si>
    <t>LIGHTING DEVICE TYPES (IEC 60929 / IEC 62386)</t>
  </si>
  <si>
    <t>Power Range</t>
  </si>
  <si>
    <t>Control Type</t>
  </si>
  <si>
    <t>DRV-LED</t>
  </si>
  <si>
    <t>LED Driver</t>
  </si>
  <si>
    <t>Constant current/voltage driver</t>
  </si>
  <si>
    <t>10W-300W</t>
  </si>
  <si>
    <t>Non-dimmable/Dimmable</t>
  </si>
  <si>
    <t>LED lighting</t>
  </si>
  <si>
    <t>IEC 61347-2-13</t>
  </si>
  <si>
    <t>BAL-FL</t>
  </si>
  <si>
    <t>Fluorescent Ballast</t>
  </si>
  <si>
    <t>Electronic/magnetic ballast</t>
  </si>
  <si>
    <t>18W-58W</t>
  </si>
  <si>
    <t>Instant start</t>
  </si>
  <si>
    <t>Fluorescent tubes</t>
  </si>
  <si>
    <t>IEC 60929</t>
  </si>
  <si>
    <t>BAL-CFL</t>
  </si>
  <si>
    <t>CFL Ballast</t>
  </si>
  <si>
    <t>Integrated ballast</t>
  </si>
  <si>
    <t>9W-32W</t>
  </si>
  <si>
    <t>Integrated</t>
  </si>
  <si>
    <t>CFL lamps</t>
  </si>
  <si>
    <t>BAL-HID</t>
  </si>
  <si>
    <t>HID Ballast</t>
  </si>
  <si>
    <t>High intensity discharge ballast</t>
  </si>
  <si>
    <t>35W-400W</t>
  </si>
  <si>
    <t>Electronic/magnetic</t>
  </si>
  <si>
    <t>HID lamps</t>
  </si>
  <si>
    <t>IEC 61167</t>
  </si>
  <si>
    <t>TRF-HAL</t>
  </si>
  <si>
    <t>Halogen Transformer</t>
  </si>
  <si>
    <t>Electronic/toroidal transformer</t>
  </si>
  <si>
    <t>20W-300W</t>
  </si>
  <si>
    <t>Low voltage</t>
  </si>
  <si>
    <t>Halogen 12V</t>
  </si>
  <si>
    <t>IEC 61558-2-6</t>
  </si>
  <si>
    <t>DIM-TRAIL</t>
  </si>
  <si>
    <t>Trailing Edge Dimmer</t>
  </si>
  <si>
    <t>TRIAC dimmer</t>
  </si>
  <si>
    <t>60W-400W</t>
  </si>
  <si>
    <t>Phase control</t>
  </si>
  <si>
    <t>Incandescent/halogen</t>
  </si>
  <si>
    <t>DIM-LEAD</t>
  </si>
  <si>
    <t>Leading Edge Dimmer</t>
  </si>
  <si>
    <t>Forward phase dimmer</t>
  </si>
  <si>
    <t>100W-1000W</t>
  </si>
  <si>
    <t>Resistive loads</t>
  </si>
  <si>
    <t>DIM-LED</t>
  </si>
  <si>
    <t>LED Dimmer</t>
  </si>
  <si>
    <t>PWM/0-10V dimmer</t>
  </si>
  <si>
    <t>10W-200W</t>
  </si>
  <si>
    <t>PWM/analog</t>
  </si>
  <si>
    <t>LED dimmable</t>
  </si>
  <si>
    <t>DIM-FL</t>
  </si>
  <si>
    <t>Fluorescent Dimmer</t>
  </si>
  <si>
    <t>Ballast dimmer</t>
  </si>
  <si>
    <t>18W-216W</t>
  </si>
  <si>
    <t>DSI/DALI</t>
  </si>
  <si>
    <t>Dimmable fluorescent</t>
  </si>
  <si>
    <t>IEC 62386</t>
  </si>
  <si>
    <t>CTRL-DALI</t>
  </si>
  <si>
    <t>DALI Controller</t>
  </si>
  <si>
    <t>Digital addressable control</t>
  </si>
  <si>
    <t>DALI protocol</t>
  </si>
  <si>
    <t>Smart lighting</t>
  </si>
  <si>
    <t>CTRL-DMX</t>
  </si>
  <si>
    <t>DMX Controller</t>
  </si>
  <si>
    <t>DMX512 lighting controller</t>
  </si>
  <si>
    <t>DMX protocol</t>
  </si>
  <si>
    <t>Stage/architectural</t>
  </si>
  <si>
    <t>ANSI E1.11</t>
  </si>
  <si>
    <t>SENS-PIR</t>
  </si>
  <si>
    <t>PIR Sensor</t>
  </si>
  <si>
    <t>Passive infrared motion sensor</t>
  </si>
  <si>
    <t>Motion detection</t>
  </si>
  <si>
    <t>Occupancy lighting</t>
  </si>
  <si>
    <t>SENS-LUX</t>
  </si>
  <si>
    <t>Daylight Sensor</t>
  </si>
  <si>
    <t>Photocell/lux sensor</t>
  </si>
  <si>
    <t>Light level</t>
  </si>
  <si>
    <t>Daylight harvesting</t>
  </si>
  <si>
    <t>EMER-INV</t>
  </si>
  <si>
    <t>Emergency Inverter</t>
  </si>
  <si>
    <t>Battery backup inverter</t>
  </si>
  <si>
    <t>3W-80W</t>
  </si>
  <si>
    <t>Auto-switching</t>
  </si>
  <si>
    <t>IEC 61347-2-7</t>
  </si>
  <si>
    <t>EMER-BAT</t>
  </si>
  <si>
    <t>Emergency Battery Pack</t>
  </si>
  <si>
    <t>Self-contained battery</t>
  </si>
  <si>
    <t>3-8 hours</t>
  </si>
  <si>
    <t>Auto-test</t>
  </si>
  <si>
    <t>Emergency fixtures</t>
  </si>
  <si>
    <t>ELECTRICAL MATERIAL CODES</t>
  </si>
  <si>
    <t>Material Code</t>
  </si>
  <si>
    <t>Material Name</t>
  </si>
  <si>
    <t>Properties</t>
  </si>
  <si>
    <t>Temperature Rating</t>
  </si>
  <si>
    <t>PVC</t>
  </si>
  <si>
    <t>Polyvinyl Chloride</t>
  </si>
  <si>
    <t>Thermoplastic insulation</t>
  </si>
  <si>
    <t>Rigid/flexible, flame retardant</t>
  </si>
  <si>
    <t>70°C-105°C</t>
  </si>
  <si>
    <t>Cable insulation, conduit</t>
  </si>
  <si>
    <t>XLPE</t>
  </si>
  <si>
    <t>Cross-linked Polyethylene</t>
  </si>
  <si>
    <t>Thermoset insulation</t>
  </si>
  <si>
    <t>High temperature, moisture resistant</t>
  </si>
  <si>
    <t>90°C-120°C</t>
  </si>
  <si>
    <t>Power cables</t>
  </si>
  <si>
    <t>EPR</t>
  </si>
  <si>
    <t>Ethylene Propylene Rubber</t>
  </si>
  <si>
    <t>Synthetic rubber insulation</t>
  </si>
  <si>
    <t>Flexible, heat resistant</t>
  </si>
  <si>
    <t>90°C</t>
  </si>
  <si>
    <t>Flexible cables</t>
  </si>
  <si>
    <t>SILICONE</t>
  </si>
  <si>
    <t>Silicone Rubber</t>
  </si>
  <si>
    <t>High-temp rubber</t>
  </si>
  <si>
    <t>Very flexible, high temperature</t>
  </si>
  <si>
    <t>180°C-200°C</t>
  </si>
  <si>
    <t>High-temp cables</t>
  </si>
  <si>
    <t>CU</t>
  </si>
  <si>
    <t>Copper</t>
  </si>
  <si>
    <t>Conductor material</t>
  </si>
  <si>
    <t>High conductivity (58 MS/m)</t>
  </si>
  <si>
    <t>Cable conductors</t>
  </si>
  <si>
    <t>IEC 60228</t>
  </si>
  <si>
    <t>AL</t>
  </si>
  <si>
    <t>Aluminum</t>
  </si>
  <si>
    <t>Lower conductivity (37 MS/m)</t>
  </si>
  <si>
    <t>Large cables</t>
  </si>
  <si>
    <t>STEEL</t>
  </si>
  <si>
    <t>Steel</t>
  </si>
  <si>
    <t>Armor/protection</t>
  </si>
  <si>
    <t>Mechanical protection</t>
  </si>
  <si>
    <t>Cable armor, conduit</t>
  </si>
  <si>
    <t>GALV</t>
  </si>
  <si>
    <t>Galvanized Steel</t>
  </si>
  <si>
    <t>Zinc-coated steel</t>
  </si>
  <si>
    <t>Corrosion resistant</t>
  </si>
  <si>
    <t>Conduit, trunking</t>
  </si>
  <si>
    <t>IEC 61386</t>
  </si>
  <si>
    <t>SS</t>
  </si>
  <si>
    <t>Stainless Steel</t>
  </si>
  <si>
    <t>Corrosion-resistant steel</t>
  </si>
  <si>
    <t>High corrosion resistance</t>
  </si>
  <si>
    <t>Harsh environments</t>
  </si>
  <si>
    <t>BRASS</t>
  </si>
  <si>
    <t>Brass</t>
  </si>
  <si>
    <t>Copper-zinc alloy</t>
  </si>
  <si>
    <t>Cable glands, terminals</t>
  </si>
  <si>
    <t>PC</t>
  </si>
  <si>
    <t>Polycarbonate</t>
  </si>
  <si>
    <t>Engineering thermoplastic</t>
  </si>
  <si>
    <t>High impact, transparent</t>
  </si>
  <si>
    <t>120°C</t>
  </si>
  <si>
    <t>Switch plates, enclosures</t>
  </si>
  <si>
    <t>IEC 60695</t>
  </si>
  <si>
    <t>ABS</t>
  </si>
  <si>
    <t>ABS Plastic</t>
  </si>
  <si>
    <t>Thermoplastic polymer</t>
  </si>
  <si>
    <t>Impact resistant</t>
  </si>
  <si>
    <t>80°C</t>
  </si>
  <si>
    <t>Enclosures, boxes</t>
  </si>
  <si>
    <t>NYLON</t>
  </si>
  <si>
    <t>Nylon/Polyamide</t>
  </si>
  <si>
    <t>Engineering plastic</t>
  </si>
  <si>
    <t>Strong, abrasion resistant</t>
  </si>
  <si>
    <t>85°C-150°C</t>
  </si>
  <si>
    <t>Cable ties, glands</t>
  </si>
  <si>
    <t>GRP</t>
  </si>
  <si>
    <t>Glass Reinforced Plastic</t>
  </si>
  <si>
    <t>Fiberglass composite</t>
  </si>
  <si>
    <t>High strength, non-conductive</t>
  </si>
  <si>
    <t>Cable trays, enclosures</t>
  </si>
  <si>
    <t>IEC 61537</t>
  </si>
  <si>
    <t>FLOOR LEVELS</t>
  </si>
  <si>
    <t>B03</t>
  </si>
  <si>
    <t>Basement 3</t>
  </si>
  <si>
    <t>Third basement level</t>
  </si>
  <si>
    <t>B02</t>
  </si>
  <si>
    <t>Basement 2</t>
  </si>
  <si>
    <t>Second basement</t>
  </si>
  <si>
    <t>B01</t>
  </si>
  <si>
    <t>Basement 1</t>
  </si>
  <si>
    <t>First basement</t>
  </si>
  <si>
    <t>LG</t>
  </si>
  <si>
    <t>Lower Ground</t>
  </si>
  <si>
    <t>Semi-basement</t>
  </si>
  <si>
    <t>L00</t>
  </si>
  <si>
    <t>Ground Floor</t>
  </si>
  <si>
    <t>Main entrance</t>
  </si>
  <si>
    <t>LM</t>
  </si>
  <si>
    <t>Mezzanine</t>
  </si>
  <si>
    <t>Intermediate level</t>
  </si>
  <si>
    <t>L01</t>
  </si>
  <si>
    <t>Level 1</t>
  </si>
  <si>
    <t>First floor</t>
  </si>
  <si>
    <t>L02</t>
  </si>
  <si>
    <t>Level 2</t>
  </si>
  <si>
    <t>Second floor</t>
  </si>
  <si>
    <t>L03</t>
  </si>
  <si>
    <t>Level 3</t>
  </si>
  <si>
    <t>Third floor</t>
  </si>
  <si>
    <t>L04</t>
  </si>
  <si>
    <t>Level 4</t>
  </si>
  <si>
    <t>Fourth floor</t>
  </si>
  <si>
    <t>L05</t>
  </si>
  <si>
    <t>Level 5</t>
  </si>
  <si>
    <t>Fifth floor</t>
  </si>
  <si>
    <t>L06</t>
  </si>
  <si>
    <t>Level 6</t>
  </si>
  <si>
    <t>Sixth floor</t>
  </si>
  <si>
    <t>L07</t>
  </si>
  <si>
    <t>Level 7</t>
  </si>
  <si>
    <t>Seventh floor</t>
  </si>
  <si>
    <t>LP</t>
  </si>
  <si>
    <t>Penthouse</t>
  </si>
  <si>
    <t>Upper level</t>
  </si>
  <si>
    <t>LR</t>
  </si>
  <si>
    <t>Roof</t>
  </si>
  <si>
    <t>Roof level</t>
  </si>
  <si>
    <t>ZONE CODES</t>
  </si>
  <si>
    <t>Z01</t>
  </si>
  <si>
    <t>Zone 1</t>
  </si>
  <si>
    <t>Primary zone</t>
  </si>
  <si>
    <t>Z02</t>
  </si>
  <si>
    <t>Zone 2</t>
  </si>
  <si>
    <t>Secondary zone</t>
  </si>
  <si>
    <t>Z03</t>
  </si>
  <si>
    <t>Zone 3</t>
  </si>
  <si>
    <t>Tertiary zone</t>
  </si>
  <si>
    <t>Z04</t>
  </si>
  <si>
    <t>Zone 4</t>
  </si>
  <si>
    <t>Fourth zone</t>
  </si>
  <si>
    <t>Z05</t>
  </si>
  <si>
    <t>Zone 5</t>
  </si>
  <si>
    <t>Fifth zone</t>
  </si>
  <si>
    <t>COR</t>
  </si>
  <si>
    <t>Corridor</t>
  </si>
  <si>
    <t>Circulation areas</t>
  </si>
  <si>
    <t>External</t>
  </si>
  <si>
    <t>Outdoor equipment</t>
  </si>
  <si>
    <t>PKG</t>
  </si>
  <si>
    <t>Parking</t>
  </si>
  <si>
    <t>Parking garage</t>
  </si>
  <si>
    <t>PLANT</t>
  </si>
  <si>
    <t>Plant Room</t>
  </si>
  <si>
    <t>MEP plant room</t>
  </si>
  <si>
    <t>ROOF</t>
  </si>
  <si>
    <t>Roof equipment</t>
  </si>
  <si>
    <t>SVC</t>
  </si>
  <si>
    <t>Service</t>
  </si>
  <si>
    <t>Service areas</t>
  </si>
  <si>
    <t>UTIL</t>
  </si>
  <si>
    <t>Utility</t>
  </si>
  <si>
    <t>Utility rooms</t>
  </si>
  <si>
    <t>DISCIPLINE CODES - ISO 19650-2</t>
  </si>
  <si>
    <t>Controls/BMS</t>
  </si>
  <si>
    <t>ISO 16484</t>
  </si>
  <si>
    <t>D</t>
  </si>
  <si>
    <t>Data/Telecom</t>
  </si>
  <si>
    <t>ISO/IEC 11801</t>
  </si>
  <si>
    <t>E</t>
  </si>
  <si>
    <t>Electrical</t>
  </si>
  <si>
    <t>F</t>
  </si>
  <si>
    <t>Fire Protection</t>
  </si>
  <si>
    <t>NFPA 13</t>
  </si>
  <si>
    <t>FA</t>
  </si>
  <si>
    <t>Fire Alarm</t>
  </si>
  <si>
    <t>NFPA 72</t>
  </si>
  <si>
    <t>NFPA 96</t>
  </si>
  <si>
    <t>L</t>
  </si>
  <si>
    <t>IEC 60598</t>
  </si>
  <si>
    <t>LAB</t>
  </si>
  <si>
    <t>Laboratory</t>
  </si>
  <si>
    <t>Lab systems</t>
  </si>
  <si>
    <t>LAU</t>
  </si>
  <si>
    <t>Laundry</t>
  </si>
  <si>
    <t>Laundry equipment</t>
  </si>
  <si>
    <t>M</t>
  </si>
  <si>
    <t>MG</t>
  </si>
  <si>
    <t>Medical Gas</t>
  </si>
  <si>
    <t>ISO 7396</t>
  </si>
  <si>
    <t>P</t>
  </si>
  <si>
    <t>Plumbing</t>
  </si>
  <si>
    <t>ISO 15874</t>
  </si>
  <si>
    <t>RE</t>
  </si>
  <si>
    <t>Renewable</t>
  </si>
  <si>
    <t>Solar/wind</t>
  </si>
  <si>
    <t>S</t>
  </si>
  <si>
    <t>Security</t>
  </si>
  <si>
    <t>Access/CCTV</t>
  </si>
  <si>
    <t>VT</t>
  </si>
  <si>
    <t>Vertical Transport</t>
  </si>
  <si>
    <t>CURRENT_RATINGS</t>
  </si>
  <si>
    <t>CURRENT_RATINGS_DESCRIPTION</t>
  </si>
  <si>
    <t>1</t>
  </si>
  <si>
    <t>2</t>
  </si>
  <si>
    <t>3</t>
  </si>
  <si>
    <t>5</t>
  </si>
  <si>
    <t>13</t>
  </si>
  <si>
    <t>15</t>
  </si>
  <si>
    <t>30</t>
  </si>
  <si>
    <t>45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</si>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</sst>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2B579A"/>
      <name val="Calibri"/>
    </font>
    <font>
      <b/>
      <sz val="14"/>
      <name val="Calibri"/>
    </font>
    <font>
      <b/>
      <sz val="11"/>
      <color rgb="FF2B579A"/>
      <name val="Calibri"/>
    </font>
    <font>
      <sz val="11"/>
      <color rgb="FF0000FF"/>
      <name val="Calibri"/>
    </font>
    <font>
      <b/>
      <sz val="11"/>
      <color rgb="FF008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1F4E78"/>
      <name val="Calibri"/>
    </font>
    <font>
      <b/>
      <sz val="11"/>
      <color rgb="FF1F4E78"/>
      <name val="Calibri"/>
    </font>
    <font>
      <b/>
      <sz val="10"/>
      <color rgb="FFFFFFFF"/>
      <name val="Calibri"/>
    </font>
    <font>
      <sz val="9"/>
      <name val="Courier New"/>
    </font>
  </fonts>
  <fills count="7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5" fillId="0" borderId="1" xfId="0" applyFont="1" applyBorder="1"/>
    <xf numFmtId="0" fontId="7" fillId="2" borderId="1" xfId="0" applyFont="1" applyFill="1" applyBorder="1"/>
    <xf numFmtId="0" fontId="8" fillId="0" borderId="1" xfId="0" applyFont="1" applyBorder="1"/>
    <xf numFmtId="0" fontId="11" fillId="4" borderId="1" xfId="0" applyFont="1" applyFill="1" applyBorder="1"/>
    <xf numFmtId="0" fontId="12" fillId="0" borderId="1" xfId="0" applyFont="1" applyBorder="1"/>
    <xf numFmtId="0" fontId="0" fillId="0" borderId="1" xfId="0" applyBorder="1" applyAlignment="1">
      <alignment horizontal="center"/>
    </xf>
    <xf numFmtId="0" fontId="10" fillId="0" borderId="0" xfId="0" applyFont="1"/>
    <xf numFmtId="0" fontId="1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10" fillId="3" borderId="0" xfId="0" applyFont="1" applyFill="1"/>
    <xf numFmtId="0" fontId="0" fillId="0" borderId="0" xfId="0"/>
    <xf numFmtId="0" fontId="9" fillId="0" borderId="0" xfId="0" applyFont="1"/>
    <xf numFmtId="0" fontId="10" fillId="5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tabSelected="1" topLeftCell="A107" workbookViewId="0">
      <selection activeCell="B148" sqref="B148"/>
    </sheetView>
  </sheetViews>
  <sheetFormatPr defaultRowHeight="15" x14ac:dyDescent="0.25"/>
  <cols>
    <col min="1" max="9" width="22" customWidth="1"/>
  </cols>
  <sheetData>
    <row r="1" spans="1:7" ht="18.75" customHeight="1" x14ac:dyDescent="0.3">
      <c r="A1" s="3" t="s">
        <v>0</v>
      </c>
    </row>
    <row r="3" spans="1:7" ht="15.75" customHeight="1" x14ac:dyDescent="0.25">
      <c r="A3" s="1" t="s">
        <v>1</v>
      </c>
    </row>
    <row r="5" spans="1:7" x14ac:dyDescent="0.25">
      <c r="A5" s="4" t="s">
        <v>2</v>
      </c>
      <c r="D5" s="4" t="s">
        <v>3</v>
      </c>
    </row>
    <row r="6" spans="1:7" x14ac:dyDescent="0.25">
      <c r="A6" s="2" t="s">
        <v>4</v>
      </c>
      <c r="B6" s="5">
        <v>25</v>
      </c>
      <c r="D6" s="2" t="s">
        <v>5</v>
      </c>
      <c r="E6" s="5">
        <v>35</v>
      </c>
    </row>
    <row r="7" spans="1:7" x14ac:dyDescent="0.25">
      <c r="A7" s="2" t="s">
        <v>6</v>
      </c>
      <c r="B7" s="5">
        <v>415</v>
      </c>
      <c r="D7" s="2" t="s">
        <v>7</v>
      </c>
      <c r="E7" s="5">
        <v>0.8</v>
      </c>
    </row>
    <row r="8" spans="1:7" x14ac:dyDescent="0.25">
      <c r="A8" s="2" t="s">
        <v>8</v>
      </c>
      <c r="B8" s="5">
        <v>0.85</v>
      </c>
      <c r="D8" s="2" t="s">
        <v>9</v>
      </c>
      <c r="E8" s="5" t="s">
        <v>10</v>
      </c>
    </row>
    <row r="9" spans="1:7" x14ac:dyDescent="0.25">
      <c r="A9" s="2" t="s">
        <v>11</v>
      </c>
      <c r="B9" s="5" t="s">
        <v>12</v>
      </c>
      <c r="D9" s="2" t="s">
        <v>13</v>
      </c>
      <c r="E9" s="6">
        <f>E7*IF(E6&lt;=30,1,IF(E6&lt;=35,0.94,IF(E6&lt;=40,0.87,0.79)))</f>
        <v>0.752</v>
      </c>
    </row>
    <row r="10" spans="1:7" x14ac:dyDescent="0.25">
      <c r="A10" s="2" t="s">
        <v>14</v>
      </c>
      <c r="B10" s="7">
        <f>IF(B9="3-Phase", B6*1000/(B7*SQRT(3)*B8), B6*1000/(B7*B8))</f>
        <v>40.917807880200264</v>
      </c>
      <c r="D10" s="2" t="s">
        <v>15</v>
      </c>
      <c r="E10" s="7">
        <f>B10/E9</f>
        <v>54.411978564096096</v>
      </c>
    </row>
    <row r="12" spans="1:7" ht="15.75" customHeight="1" x14ac:dyDescent="0.25">
      <c r="A12" s="1" t="s">
        <v>16</v>
      </c>
    </row>
    <row r="13" spans="1:7" x14ac:dyDescent="0.25">
      <c r="A13" s="8" t="s">
        <v>17</v>
      </c>
      <c r="B13" s="8" t="s">
        <v>18</v>
      </c>
      <c r="C13" s="8" t="s">
        <v>19</v>
      </c>
      <c r="D13" s="8" t="s">
        <v>10</v>
      </c>
      <c r="E13" s="8" t="s">
        <v>20</v>
      </c>
      <c r="F13" s="8" t="s">
        <v>21</v>
      </c>
      <c r="G13" s="8" t="s">
        <v>22</v>
      </c>
    </row>
    <row r="14" spans="1:7" x14ac:dyDescent="0.25">
      <c r="A14" s="2">
        <v>1.5</v>
      </c>
      <c r="B14" s="2">
        <v>13.5</v>
      </c>
      <c r="C14" s="2">
        <v>13</v>
      </c>
      <c r="D14" s="2">
        <v>17.5</v>
      </c>
      <c r="E14" s="2">
        <v>18</v>
      </c>
      <c r="F14" s="2">
        <v>22</v>
      </c>
      <c r="G14" s="2">
        <v>10</v>
      </c>
    </row>
    <row r="15" spans="1:7" x14ac:dyDescent="0.25">
      <c r="A15" s="2">
        <v>2.5</v>
      </c>
      <c r="B15" s="2">
        <v>18.5</v>
      </c>
      <c r="C15" s="2">
        <v>18</v>
      </c>
      <c r="D15" s="2">
        <v>24</v>
      </c>
      <c r="E15" s="2">
        <v>25</v>
      </c>
      <c r="F15" s="2">
        <v>30</v>
      </c>
      <c r="G15" s="2">
        <v>16</v>
      </c>
    </row>
    <row r="16" spans="1:7" x14ac:dyDescent="0.25">
      <c r="A16" s="2">
        <v>4</v>
      </c>
      <c r="B16" s="2">
        <v>25</v>
      </c>
      <c r="C16" s="2">
        <v>24</v>
      </c>
      <c r="D16" s="2">
        <v>32</v>
      </c>
      <c r="E16" s="2">
        <v>34</v>
      </c>
      <c r="F16" s="2">
        <v>40</v>
      </c>
      <c r="G16" s="2">
        <v>25</v>
      </c>
    </row>
    <row r="17" spans="1:7" x14ac:dyDescent="0.25">
      <c r="A17" s="2">
        <v>6</v>
      </c>
      <c r="B17" s="2">
        <v>32</v>
      </c>
      <c r="C17" s="2">
        <v>31</v>
      </c>
      <c r="D17" s="2">
        <v>41</v>
      </c>
      <c r="E17" s="2">
        <v>43</v>
      </c>
      <c r="F17" s="2">
        <v>52</v>
      </c>
      <c r="G17" s="2">
        <v>32</v>
      </c>
    </row>
    <row r="18" spans="1:7" x14ac:dyDescent="0.25">
      <c r="A18" s="2">
        <v>10</v>
      </c>
      <c r="B18" s="2">
        <v>44</v>
      </c>
      <c r="C18" s="2">
        <v>42</v>
      </c>
      <c r="D18" s="2">
        <v>57</v>
      </c>
      <c r="E18" s="2">
        <v>60</v>
      </c>
      <c r="F18" s="2">
        <v>71</v>
      </c>
      <c r="G18" s="2">
        <v>50</v>
      </c>
    </row>
    <row r="19" spans="1:7" x14ac:dyDescent="0.25">
      <c r="A19" s="2">
        <v>16</v>
      </c>
      <c r="B19" s="2">
        <v>59</v>
      </c>
      <c r="C19" s="2">
        <v>56</v>
      </c>
      <c r="D19" s="2">
        <v>76</v>
      </c>
      <c r="E19" s="2">
        <v>80</v>
      </c>
      <c r="F19" s="2">
        <v>96</v>
      </c>
      <c r="G19" s="2">
        <v>63</v>
      </c>
    </row>
    <row r="20" spans="1:7" x14ac:dyDescent="0.25">
      <c r="A20" s="2">
        <v>25</v>
      </c>
      <c r="B20" s="2">
        <v>77</v>
      </c>
      <c r="C20" s="2">
        <v>73</v>
      </c>
      <c r="D20" s="2">
        <v>99</v>
      </c>
      <c r="E20" s="2">
        <v>106</v>
      </c>
      <c r="F20" s="2">
        <v>119</v>
      </c>
      <c r="G20" s="2">
        <v>80</v>
      </c>
    </row>
    <row r="21" spans="1:7" x14ac:dyDescent="0.25">
      <c r="A21" s="2">
        <v>35</v>
      </c>
      <c r="B21" s="2">
        <v>96</v>
      </c>
      <c r="C21" s="2">
        <v>89</v>
      </c>
      <c r="D21" s="2">
        <v>121</v>
      </c>
      <c r="E21" s="2">
        <v>131</v>
      </c>
      <c r="F21" s="2">
        <v>148</v>
      </c>
      <c r="G21" s="2">
        <v>100</v>
      </c>
    </row>
    <row r="22" spans="1:7" x14ac:dyDescent="0.25">
      <c r="A22" s="2">
        <v>50</v>
      </c>
      <c r="B22" s="2">
        <v>117</v>
      </c>
      <c r="C22" s="2">
        <v>108</v>
      </c>
      <c r="D22" s="2">
        <v>147</v>
      </c>
      <c r="E22" s="2">
        <v>162</v>
      </c>
      <c r="F22" s="2">
        <v>180</v>
      </c>
      <c r="G22" s="2">
        <v>125</v>
      </c>
    </row>
    <row r="23" spans="1:7" x14ac:dyDescent="0.25">
      <c r="A23" s="2">
        <v>70</v>
      </c>
      <c r="B23" s="2">
        <v>150</v>
      </c>
      <c r="C23" s="2">
        <v>136</v>
      </c>
      <c r="D23" s="2">
        <v>188</v>
      </c>
      <c r="E23" s="2">
        <v>209</v>
      </c>
      <c r="F23" s="2">
        <v>232</v>
      </c>
      <c r="G23" s="2">
        <v>160</v>
      </c>
    </row>
    <row r="24" spans="1:7" x14ac:dyDescent="0.25">
      <c r="A24" s="2">
        <v>95</v>
      </c>
      <c r="B24" s="2">
        <v>182</v>
      </c>
      <c r="C24" s="2">
        <v>164</v>
      </c>
      <c r="D24" s="2">
        <v>227</v>
      </c>
      <c r="E24" s="2">
        <v>255</v>
      </c>
      <c r="F24" s="2">
        <v>282</v>
      </c>
      <c r="G24" s="2">
        <v>200</v>
      </c>
    </row>
    <row r="25" spans="1:7" x14ac:dyDescent="0.25">
      <c r="A25" s="2">
        <v>120</v>
      </c>
      <c r="B25" s="2">
        <v>210</v>
      </c>
      <c r="C25" s="2">
        <v>188</v>
      </c>
      <c r="D25" s="2">
        <v>262</v>
      </c>
      <c r="E25" s="2">
        <v>297</v>
      </c>
      <c r="F25" s="2">
        <v>328</v>
      </c>
      <c r="G25" s="2">
        <v>250</v>
      </c>
    </row>
    <row r="26" spans="1:7" x14ac:dyDescent="0.25">
      <c r="A26" s="2">
        <v>150</v>
      </c>
      <c r="B26" s="2">
        <v>240</v>
      </c>
      <c r="C26" s="2">
        <v>216</v>
      </c>
      <c r="D26" s="2">
        <v>300</v>
      </c>
      <c r="E26" s="2">
        <v>344</v>
      </c>
      <c r="F26" s="2">
        <v>379</v>
      </c>
      <c r="G26" s="2">
        <v>315</v>
      </c>
    </row>
    <row r="27" spans="1:7" x14ac:dyDescent="0.25">
      <c r="A27" s="2">
        <v>185</v>
      </c>
      <c r="B27" s="2">
        <v>273</v>
      </c>
      <c r="C27" s="2">
        <v>245</v>
      </c>
      <c r="D27" s="2">
        <v>341</v>
      </c>
      <c r="E27" s="2">
        <v>394</v>
      </c>
      <c r="F27" s="2">
        <v>434</v>
      </c>
      <c r="G27" s="2">
        <v>400</v>
      </c>
    </row>
    <row r="28" spans="1:7" x14ac:dyDescent="0.25">
      <c r="A28" s="2">
        <v>240</v>
      </c>
      <c r="B28" s="2">
        <v>321</v>
      </c>
      <c r="C28" s="2">
        <v>286</v>
      </c>
      <c r="D28" s="2">
        <v>400</v>
      </c>
      <c r="E28" s="2">
        <v>467</v>
      </c>
      <c r="F28" s="2">
        <v>514</v>
      </c>
      <c r="G28" s="2">
        <v>500</v>
      </c>
    </row>
    <row r="29" spans="1:7" x14ac:dyDescent="0.25">
      <c r="A29" s="2">
        <v>300</v>
      </c>
      <c r="B29" s="2">
        <v>367</v>
      </c>
      <c r="C29" s="2">
        <v>328</v>
      </c>
      <c r="D29" s="2">
        <v>458</v>
      </c>
      <c r="E29" s="2">
        <v>540</v>
      </c>
      <c r="F29" s="2">
        <v>593</v>
      </c>
      <c r="G29" s="2">
        <v>630</v>
      </c>
    </row>
    <row r="31" spans="1:7" ht="15.75" customHeight="1" x14ac:dyDescent="0.25">
      <c r="A31" s="1" t="s">
        <v>23</v>
      </c>
    </row>
    <row r="32" spans="1:7" x14ac:dyDescent="0.25">
      <c r="A32" s="2" t="s">
        <v>24</v>
      </c>
      <c r="B32" s="7">
        <f>INDEX(A14:A29,MATCH(TRUE,INDEX(D14:D29&gt;=E10,0),0))</f>
        <v>10</v>
      </c>
    </row>
    <row r="33" spans="1:6" x14ac:dyDescent="0.25">
      <c r="A33" s="2" t="s">
        <v>25</v>
      </c>
      <c r="B33" s="7">
        <f>INDEX(G14:G29,MATCH(TRUE,INDEX(D14:D29&gt;=E10,0),0))</f>
        <v>50</v>
      </c>
    </row>
    <row r="36" spans="1:6" ht="18.75" x14ac:dyDescent="0.3">
      <c r="A36" s="3" t="s">
        <v>26</v>
      </c>
    </row>
    <row r="38" spans="1:6" ht="15.75" x14ac:dyDescent="0.25">
      <c r="A38" s="1" t="s">
        <v>27</v>
      </c>
      <c r="D38" s="1" t="s">
        <v>28</v>
      </c>
    </row>
    <row r="39" spans="1:6" x14ac:dyDescent="0.25">
      <c r="D39" s="8" t="s">
        <v>29</v>
      </c>
      <c r="E39" s="8" t="s">
        <v>12</v>
      </c>
      <c r="F39" s="8" t="s">
        <v>30</v>
      </c>
    </row>
    <row r="40" spans="1:6" x14ac:dyDescent="0.25">
      <c r="A40" s="2" t="s">
        <v>31</v>
      </c>
      <c r="B40" s="5">
        <v>50</v>
      </c>
      <c r="D40" s="2">
        <v>1.5</v>
      </c>
      <c r="E40" s="2">
        <v>29</v>
      </c>
      <c r="F40" s="2">
        <v>31</v>
      </c>
    </row>
    <row r="41" spans="1:6" x14ac:dyDescent="0.25">
      <c r="A41" s="2" t="s">
        <v>14</v>
      </c>
      <c r="B41" s="6">
        <f>CALCULATIONS!B10</f>
        <v>40.917807880200264</v>
      </c>
      <c r="D41" s="2">
        <v>2.5</v>
      </c>
      <c r="E41" s="2">
        <v>18</v>
      </c>
      <c r="F41" s="2">
        <v>19</v>
      </c>
    </row>
    <row r="42" spans="1:6" x14ac:dyDescent="0.25">
      <c r="A42" s="2" t="s">
        <v>32</v>
      </c>
      <c r="B42" s="5">
        <v>16</v>
      </c>
      <c r="D42" s="2">
        <v>4</v>
      </c>
      <c r="E42" s="2">
        <v>11</v>
      </c>
      <c r="F42" s="2">
        <v>12</v>
      </c>
    </row>
    <row r="43" spans="1:6" x14ac:dyDescent="0.25">
      <c r="A43" s="2" t="s">
        <v>33</v>
      </c>
      <c r="B43" s="5">
        <v>415</v>
      </c>
      <c r="D43" s="2">
        <v>6</v>
      </c>
      <c r="E43" s="2">
        <v>7.3</v>
      </c>
      <c r="F43" s="2">
        <v>7.9</v>
      </c>
    </row>
    <row r="44" spans="1:6" x14ac:dyDescent="0.25">
      <c r="A44" s="2" t="s">
        <v>34</v>
      </c>
      <c r="B44" s="5">
        <v>2.4</v>
      </c>
      <c r="D44" s="2">
        <v>10</v>
      </c>
      <c r="E44" s="2">
        <v>4.4000000000000004</v>
      </c>
      <c r="F44" s="2">
        <v>4.7</v>
      </c>
    </row>
    <row r="45" spans="1:6" x14ac:dyDescent="0.25">
      <c r="A45" s="2" t="s">
        <v>35</v>
      </c>
      <c r="B45" s="6">
        <f>B40*B41*B44/1000</f>
        <v>4.910136945624032</v>
      </c>
      <c r="D45" s="2">
        <v>16</v>
      </c>
      <c r="E45" s="2">
        <v>2.8</v>
      </c>
      <c r="F45" s="2">
        <v>2.9</v>
      </c>
    </row>
    <row r="46" spans="1:6" x14ac:dyDescent="0.25">
      <c r="A46" s="2" t="s">
        <v>36</v>
      </c>
      <c r="B46" s="7">
        <f>B45/B43*100</f>
        <v>1.1831655290660319</v>
      </c>
      <c r="D46" s="2">
        <v>25</v>
      </c>
      <c r="E46" s="2">
        <v>1.75</v>
      </c>
      <c r="F46" s="2">
        <v>1.85</v>
      </c>
    </row>
    <row r="47" spans="1:6" x14ac:dyDescent="0.25">
      <c r="A47" s="2" t="s">
        <v>37</v>
      </c>
      <c r="B47" s="5">
        <v>4</v>
      </c>
      <c r="D47" s="2">
        <v>35</v>
      </c>
      <c r="E47" s="2">
        <v>1.25</v>
      </c>
      <c r="F47" s="2">
        <v>1.35</v>
      </c>
    </row>
    <row r="48" spans="1:6" x14ac:dyDescent="0.25">
      <c r="A48" s="2" t="s">
        <v>38</v>
      </c>
      <c r="B48" s="9" t="str">
        <f>IF(B46&lt;=B47,"OK","INCREASE CABLE SIZE")</f>
        <v>OK</v>
      </c>
      <c r="D48" s="2">
        <v>50</v>
      </c>
      <c r="E48" s="2">
        <v>0.93</v>
      </c>
      <c r="F48" s="2">
        <v>0.99</v>
      </c>
    </row>
    <row r="49" spans="1:6" x14ac:dyDescent="0.25">
      <c r="D49" s="2">
        <v>70</v>
      </c>
      <c r="E49" s="2">
        <v>0.63</v>
      </c>
      <c r="F49" s="2">
        <v>0.67</v>
      </c>
    </row>
    <row r="50" spans="1:6" x14ac:dyDescent="0.25">
      <c r="D50" s="2">
        <v>95</v>
      </c>
      <c r="E50" s="2">
        <v>0.46</v>
      </c>
      <c r="F50" s="2">
        <v>0.49</v>
      </c>
    </row>
    <row r="51" spans="1:6" x14ac:dyDescent="0.25">
      <c r="D51" s="2">
        <v>120</v>
      </c>
      <c r="E51" s="2">
        <v>0.36</v>
      </c>
      <c r="F51" s="2">
        <v>0.39</v>
      </c>
    </row>
    <row r="56" spans="1:6" ht="18.75" x14ac:dyDescent="0.3">
      <c r="A56" s="3" t="s">
        <v>39</v>
      </c>
    </row>
    <row r="58" spans="1:6" ht="15.75" x14ac:dyDescent="0.25">
      <c r="A58" s="1" t="s">
        <v>40</v>
      </c>
    </row>
    <row r="59" spans="1:6" x14ac:dyDescent="0.25">
      <c r="A59" s="8" t="s">
        <v>41</v>
      </c>
      <c r="B59" s="8" t="s">
        <v>42</v>
      </c>
      <c r="C59" s="8" t="s">
        <v>43</v>
      </c>
      <c r="D59" s="8" t="s">
        <v>44</v>
      </c>
      <c r="E59" s="8" t="s">
        <v>45</v>
      </c>
      <c r="F59" s="8" t="s">
        <v>46</v>
      </c>
    </row>
    <row r="60" spans="1:6" x14ac:dyDescent="0.25">
      <c r="A60" s="2" t="s">
        <v>47</v>
      </c>
      <c r="B60" s="5">
        <v>50</v>
      </c>
      <c r="C60" s="5">
        <v>0.04</v>
      </c>
      <c r="D60" s="6">
        <f>B60*C60</f>
        <v>2</v>
      </c>
      <c r="E60" s="5">
        <v>0.9</v>
      </c>
      <c r="F60" s="6">
        <f>D60*E60</f>
        <v>1.8</v>
      </c>
    </row>
    <row r="61" spans="1:6" x14ac:dyDescent="0.25">
      <c r="A61" s="2" t="s">
        <v>48</v>
      </c>
      <c r="B61" s="5">
        <v>20</v>
      </c>
      <c r="C61" s="5">
        <v>0.04</v>
      </c>
      <c r="D61" s="6">
        <f>B61*C61</f>
        <v>0.8</v>
      </c>
      <c r="E61" s="5">
        <v>0.8</v>
      </c>
      <c r="F61" s="6">
        <f>D61*E61</f>
        <v>0.64000000000000012</v>
      </c>
    </row>
    <row r="62" spans="1:6" x14ac:dyDescent="0.25">
      <c r="A62" s="2" t="s">
        <v>49</v>
      </c>
      <c r="B62" s="5">
        <v>100</v>
      </c>
      <c r="C62" s="5">
        <v>0.3</v>
      </c>
      <c r="D62" s="6">
        <f>B62*C62</f>
        <v>30</v>
      </c>
      <c r="E62" s="5">
        <v>0.4</v>
      </c>
      <c r="F62" s="6">
        <f>D62*E62</f>
        <v>12</v>
      </c>
    </row>
    <row r="63" spans="1:6" x14ac:dyDescent="0.25">
      <c r="A63" s="2" t="s">
        <v>50</v>
      </c>
      <c r="B63" s="5">
        <v>10</v>
      </c>
      <c r="C63" s="5">
        <v>3.5</v>
      </c>
      <c r="D63" s="6">
        <f>B63*C63</f>
        <v>35</v>
      </c>
      <c r="E63" s="5">
        <v>0.8</v>
      </c>
      <c r="F63" s="6">
        <f>D63*E63</f>
        <v>28</v>
      </c>
    </row>
    <row r="64" spans="1:6" x14ac:dyDescent="0.25">
      <c r="A64" s="2" t="s">
        <v>51</v>
      </c>
      <c r="B64" s="5">
        <v>50</v>
      </c>
      <c r="C64" s="5">
        <v>0.3</v>
      </c>
      <c r="D64" s="6">
        <f>B64*C64</f>
        <v>15</v>
      </c>
      <c r="E64" s="5">
        <v>0.7</v>
      </c>
      <c r="F64" s="6">
        <f>D64*E64</f>
        <v>10.5</v>
      </c>
    </row>
    <row r="65" spans="1:6" x14ac:dyDescent="0.25">
      <c r="A65" s="2" t="s">
        <v>52</v>
      </c>
      <c r="B65" s="5">
        <v>10</v>
      </c>
      <c r="C65" s="5">
        <v>0.5</v>
      </c>
      <c r="D65" s="6">
        <f>B65*C65</f>
        <v>5</v>
      </c>
      <c r="E65" s="5">
        <v>0.3</v>
      </c>
      <c r="F65" s="6">
        <f>D65*E65</f>
        <v>1.5</v>
      </c>
    </row>
    <row r="66" spans="1:6" x14ac:dyDescent="0.25">
      <c r="A66" s="2" t="s">
        <v>53</v>
      </c>
      <c r="B66" s="5">
        <v>5</v>
      </c>
      <c r="C66" s="5">
        <v>3</v>
      </c>
      <c r="D66" s="6">
        <f>B66*C66</f>
        <v>15</v>
      </c>
      <c r="E66" s="5">
        <v>0.4</v>
      </c>
      <c r="F66" s="6">
        <f>D66*E66</f>
        <v>6</v>
      </c>
    </row>
    <row r="67" spans="1:6" x14ac:dyDescent="0.25">
      <c r="A67" s="2" t="s">
        <v>54</v>
      </c>
      <c r="B67" s="5">
        <v>2</v>
      </c>
      <c r="C67" s="5">
        <v>15</v>
      </c>
      <c r="D67" s="6">
        <f>B67*C67</f>
        <v>30</v>
      </c>
      <c r="E67" s="5">
        <v>1</v>
      </c>
      <c r="F67" s="6">
        <f>D67*E67</f>
        <v>30</v>
      </c>
    </row>
    <row r="68" spans="1:6" x14ac:dyDescent="0.25">
      <c r="A68" s="2" t="s">
        <v>55</v>
      </c>
      <c r="B68" s="5">
        <v>3</v>
      </c>
      <c r="C68" s="5">
        <v>7.5</v>
      </c>
      <c r="D68" s="6">
        <f>B68*C68</f>
        <v>22.5</v>
      </c>
      <c r="E68" s="5">
        <v>0.6</v>
      </c>
      <c r="F68" s="6">
        <f>D68*E68</f>
        <v>13.5</v>
      </c>
    </row>
    <row r="69" spans="1:6" x14ac:dyDescent="0.25">
      <c r="A69" s="2" t="s">
        <v>56</v>
      </c>
      <c r="B69" s="5">
        <v>1</v>
      </c>
      <c r="C69" s="5">
        <v>20</v>
      </c>
      <c r="D69" s="6">
        <f>B69*C69</f>
        <v>20</v>
      </c>
      <c r="E69" s="5">
        <v>0.7</v>
      </c>
      <c r="F69" s="6">
        <f>D69*E69</f>
        <v>14</v>
      </c>
    </row>
    <row r="71" spans="1:6" x14ac:dyDescent="0.25">
      <c r="A71" s="2" t="s">
        <v>57</v>
      </c>
      <c r="D71" s="7">
        <f>SUM(D60:D69)</f>
        <v>175.3</v>
      </c>
    </row>
    <row r="72" spans="1:6" x14ac:dyDescent="0.25">
      <c r="A72" s="2" t="s">
        <v>58</v>
      </c>
      <c r="F72" s="7">
        <f>SUM(F60:F69)</f>
        <v>117.94</v>
      </c>
    </row>
    <row r="73" spans="1:6" x14ac:dyDescent="0.25">
      <c r="A73" s="2" t="s">
        <v>59</v>
      </c>
      <c r="F73" s="9">
        <f>F72/D71</f>
        <v>0.67278950370792923</v>
      </c>
    </row>
    <row r="75" spans="1:6" ht="15.75" x14ac:dyDescent="0.25">
      <c r="A75" s="1" t="s">
        <v>60</v>
      </c>
    </row>
    <row r="76" spans="1:6" x14ac:dyDescent="0.25">
      <c r="A76" s="2" t="s">
        <v>61</v>
      </c>
      <c r="B76" s="6">
        <f>F72</f>
        <v>117.94</v>
      </c>
    </row>
    <row r="77" spans="1:6" x14ac:dyDescent="0.25">
      <c r="A77" s="2" t="s">
        <v>8</v>
      </c>
      <c r="B77" s="5">
        <v>0.8</v>
      </c>
    </row>
    <row r="78" spans="1:6" x14ac:dyDescent="0.25">
      <c r="A78" s="2" t="s">
        <v>62</v>
      </c>
      <c r="B78" s="6">
        <f>B76/B77</f>
        <v>147.42499999999998</v>
      </c>
    </row>
    <row r="79" spans="1:6" x14ac:dyDescent="0.25">
      <c r="A79" s="2" t="s">
        <v>63</v>
      </c>
      <c r="B79" s="5">
        <v>1.25</v>
      </c>
    </row>
    <row r="80" spans="1:6" x14ac:dyDescent="0.25">
      <c r="A80" s="2" t="s">
        <v>64</v>
      </c>
      <c r="B80" s="7">
        <f>ROUNDUP(B78*B79/10,0)*10</f>
        <v>190</v>
      </c>
    </row>
    <row r="85" spans="1:5" ht="18.75" x14ac:dyDescent="0.3">
      <c r="A85" s="3" t="s">
        <v>65</v>
      </c>
    </row>
    <row r="87" spans="1:5" ht="15.75" x14ac:dyDescent="0.25">
      <c r="A87" s="1" t="s">
        <v>66</v>
      </c>
      <c r="D87" s="1" t="s">
        <v>67</v>
      </c>
    </row>
    <row r="89" spans="1:5" x14ac:dyDescent="0.25">
      <c r="A89" s="2" t="s">
        <v>68</v>
      </c>
      <c r="B89" s="5">
        <v>100</v>
      </c>
      <c r="D89" s="2" t="s">
        <v>69</v>
      </c>
      <c r="E89" s="5">
        <v>50000</v>
      </c>
    </row>
    <row r="90" spans="1:5" x14ac:dyDescent="0.25">
      <c r="A90" s="2" t="s">
        <v>70</v>
      </c>
      <c r="B90" s="5">
        <v>0.7</v>
      </c>
      <c r="D90" s="2" t="s">
        <v>71</v>
      </c>
      <c r="E90" s="5">
        <v>796</v>
      </c>
    </row>
    <row r="91" spans="1:5" x14ac:dyDescent="0.25">
      <c r="A91" s="2" t="s">
        <v>72</v>
      </c>
      <c r="B91" s="5">
        <v>0.95</v>
      </c>
      <c r="D91" s="2" t="s">
        <v>73</v>
      </c>
      <c r="E91" s="6">
        <f>IF(B90&lt;0.9,(0.9-B90)*100,0)</f>
        <v>20.000000000000007</v>
      </c>
    </row>
    <row r="92" spans="1:5" x14ac:dyDescent="0.25">
      <c r="A92" s="2" t="s">
        <v>74</v>
      </c>
      <c r="B92" s="6">
        <f>B89*TAN(ACOS(B90))</f>
        <v>102.02040612204071</v>
      </c>
      <c r="D92" s="2" t="s">
        <v>75</v>
      </c>
      <c r="E92" s="6">
        <f>E89*E90*E91/100</f>
        <v>7960000.0000000028</v>
      </c>
    </row>
    <row r="93" spans="1:5" x14ac:dyDescent="0.25">
      <c r="A93" s="2" t="s">
        <v>76</v>
      </c>
      <c r="B93" s="6">
        <f>B89*TAN(ACOS(B91))</f>
        <v>32.868410517886318</v>
      </c>
      <c r="D93" s="2" t="s">
        <v>77</v>
      </c>
      <c r="E93" s="7">
        <f>E92*12</f>
        <v>95520000.00000003</v>
      </c>
    </row>
    <row r="94" spans="1:5" x14ac:dyDescent="0.25">
      <c r="A94" s="2" t="s">
        <v>78</v>
      </c>
      <c r="B94" s="7">
        <f>B92-B93</f>
        <v>69.151995604154394</v>
      </c>
    </row>
    <row r="95" spans="1:5" x14ac:dyDescent="0.25">
      <c r="A95" s="2" t="s">
        <v>79</v>
      </c>
      <c r="B95" s="7">
        <f>ROUNDUP(B94/5,0)*5</f>
        <v>70</v>
      </c>
    </row>
    <row r="101" spans="1:5" ht="18.75" x14ac:dyDescent="0.3">
      <c r="A101" s="3" t="s">
        <v>80</v>
      </c>
    </row>
    <row r="103" spans="1:5" ht="15.75" x14ac:dyDescent="0.25">
      <c r="A103" s="1" t="s">
        <v>81</v>
      </c>
      <c r="D103" s="1" t="s">
        <v>82</v>
      </c>
    </row>
    <row r="105" spans="1:5" x14ac:dyDescent="0.25">
      <c r="A105" s="2" t="s">
        <v>83</v>
      </c>
      <c r="B105" s="5">
        <v>500</v>
      </c>
      <c r="D105" s="2" t="s">
        <v>84</v>
      </c>
      <c r="E105" s="5">
        <v>100</v>
      </c>
    </row>
    <row r="106" spans="1:5" x14ac:dyDescent="0.25">
      <c r="A106" s="2" t="s">
        <v>85</v>
      </c>
      <c r="B106" s="5">
        <v>4</v>
      </c>
      <c r="D106" s="2" t="s">
        <v>86</v>
      </c>
      <c r="E106" s="5">
        <v>3</v>
      </c>
    </row>
    <row r="107" spans="1:5" x14ac:dyDescent="0.25">
      <c r="A107" s="2" t="s">
        <v>87</v>
      </c>
      <c r="B107" s="5">
        <v>415</v>
      </c>
      <c r="D107" s="2" t="s">
        <v>88</v>
      </c>
      <c r="E107" s="5">
        <v>16</v>
      </c>
    </row>
    <row r="108" spans="1:5" x14ac:dyDescent="0.25">
      <c r="A108" s="2" t="s">
        <v>89</v>
      </c>
      <c r="B108" s="6">
        <f>B105*1000/(B107*SQRT(3))</f>
        <v>695.6027339634046</v>
      </c>
      <c r="D108" s="2" t="s">
        <v>90</v>
      </c>
      <c r="E108" s="6">
        <f>E105/(2*PI()*E106)*LN(4*E106/(E107/1000))</f>
        <v>35.120579148317333</v>
      </c>
    </row>
    <row r="109" spans="1:5" x14ac:dyDescent="0.25">
      <c r="A109" s="2" t="s">
        <v>91</v>
      </c>
      <c r="B109" s="7">
        <f>B108/(B106/100)/1000</f>
        <v>17.390068349085116</v>
      </c>
      <c r="D109" s="2" t="s">
        <v>92</v>
      </c>
      <c r="E109" s="5">
        <v>10</v>
      </c>
    </row>
    <row r="110" spans="1:5" x14ac:dyDescent="0.25">
      <c r="A110" s="2" t="s">
        <v>93</v>
      </c>
      <c r="B110" s="7" t="str">
        <f>IF(B109&lt;10,"10kA",IF(B109&lt;25,"25kA",IF(B109&lt;36,"36kA","50kA")))</f>
        <v>25kA</v>
      </c>
      <c r="D110" s="2" t="s">
        <v>94</v>
      </c>
      <c r="E110" s="7">
        <f>ROUNDUP(E108/E109,0)</f>
        <v>4</v>
      </c>
    </row>
    <row r="114" spans="1:5" ht="18.75" x14ac:dyDescent="0.3">
      <c r="A114" s="3" t="s">
        <v>95</v>
      </c>
    </row>
    <row r="116" spans="1:5" ht="15.75" x14ac:dyDescent="0.25">
      <c r="A116" s="1" t="s">
        <v>96</v>
      </c>
      <c r="D116" s="1" t="s">
        <v>97</v>
      </c>
    </row>
    <row r="118" spans="1:5" x14ac:dyDescent="0.25">
      <c r="A118" s="2" t="s">
        <v>98</v>
      </c>
      <c r="B118" s="5">
        <v>20</v>
      </c>
      <c r="D118" s="2" t="s">
        <v>99</v>
      </c>
      <c r="E118" s="5">
        <v>2</v>
      </c>
    </row>
    <row r="119" spans="1:5" x14ac:dyDescent="0.25">
      <c r="A119" s="2" t="s">
        <v>100</v>
      </c>
      <c r="B119" s="5">
        <v>5.5</v>
      </c>
      <c r="D119" s="2" t="s">
        <v>101</v>
      </c>
      <c r="E119" s="5">
        <v>48</v>
      </c>
    </row>
    <row r="120" spans="1:5" x14ac:dyDescent="0.25">
      <c r="A120" s="2" t="s">
        <v>102</v>
      </c>
      <c r="B120" s="5">
        <v>80</v>
      </c>
      <c r="D120" s="2" t="s">
        <v>103</v>
      </c>
      <c r="E120" s="5">
        <v>50</v>
      </c>
    </row>
    <row r="121" spans="1:5" x14ac:dyDescent="0.25">
      <c r="A121" s="2" t="s">
        <v>104</v>
      </c>
      <c r="B121" s="5">
        <v>550</v>
      </c>
      <c r="D121" s="2" t="s">
        <v>105</v>
      </c>
      <c r="E121" s="5">
        <v>85</v>
      </c>
    </row>
    <row r="122" spans="1:5" x14ac:dyDescent="0.25">
      <c r="A122" s="2" t="s">
        <v>106</v>
      </c>
      <c r="B122" s="6">
        <f>B118/(B119*B120/100)</f>
        <v>4.545454545454545</v>
      </c>
      <c r="D122" s="2" t="s">
        <v>107</v>
      </c>
      <c r="E122" s="7">
        <f>B118*E118*1000/(E119*E120/100*E121/100)</f>
        <v>1960.7843137254904</v>
      </c>
    </row>
    <row r="123" spans="1:5" x14ac:dyDescent="0.25">
      <c r="A123" s="2" t="s">
        <v>108</v>
      </c>
      <c r="B123" s="7">
        <f>ROUNDUP(B122*1000/B121,0)</f>
        <v>9</v>
      </c>
      <c r="D123" s="2" t="s">
        <v>109</v>
      </c>
      <c r="E123" s="5">
        <v>200</v>
      </c>
    </row>
    <row r="124" spans="1:5" x14ac:dyDescent="0.25">
      <c r="A124" s="2" t="s">
        <v>110</v>
      </c>
      <c r="B124" s="7">
        <f>B123*B121/1000</f>
        <v>4.95</v>
      </c>
      <c r="D124" s="2" t="s">
        <v>111</v>
      </c>
      <c r="E124" s="7">
        <f>ROUNDUP(E122/E123,0)</f>
        <v>10</v>
      </c>
    </row>
    <row r="127" spans="1:5" ht="18.75" x14ac:dyDescent="0.3">
      <c r="A127" s="3" t="s">
        <v>112</v>
      </c>
    </row>
    <row r="129" spans="1:2" ht="15.75" x14ac:dyDescent="0.25">
      <c r="A129" s="1" t="s">
        <v>113</v>
      </c>
    </row>
    <row r="131" spans="1:2" x14ac:dyDescent="0.25">
      <c r="A131" s="2" t="s">
        <v>114</v>
      </c>
      <c r="B131" s="5">
        <v>10</v>
      </c>
    </row>
    <row r="132" spans="1:2" x14ac:dyDescent="0.25">
      <c r="A132" s="2" t="s">
        <v>8</v>
      </c>
      <c r="B132" s="5">
        <v>0.8</v>
      </c>
    </row>
    <row r="133" spans="1:2" x14ac:dyDescent="0.25">
      <c r="A133" s="2" t="s">
        <v>115</v>
      </c>
      <c r="B133" s="5">
        <v>30</v>
      </c>
    </row>
    <row r="134" spans="1:2" x14ac:dyDescent="0.25">
      <c r="A134" s="2" t="s">
        <v>116</v>
      </c>
      <c r="B134" s="5">
        <v>92</v>
      </c>
    </row>
    <row r="135" spans="1:2" x14ac:dyDescent="0.25">
      <c r="A135" s="2" t="s">
        <v>117</v>
      </c>
      <c r="B135" s="7">
        <f>B131/B132*1.25</f>
        <v>15.625</v>
      </c>
    </row>
    <row r="136" spans="1:2" x14ac:dyDescent="0.25">
      <c r="A136" s="2" t="s">
        <v>118</v>
      </c>
      <c r="B136" s="6">
        <f>B131/(B134/100)</f>
        <v>10.869565217391305</v>
      </c>
    </row>
    <row r="137" spans="1:2" x14ac:dyDescent="0.25">
      <c r="A137" s="2" t="s">
        <v>119</v>
      </c>
      <c r="B137" s="6">
        <f>B136*B133/60</f>
        <v>5.4347826086956523</v>
      </c>
    </row>
    <row r="138" spans="1:2" x14ac:dyDescent="0.25">
      <c r="A138" s="2" t="s">
        <v>120</v>
      </c>
      <c r="B138" s="5">
        <v>384</v>
      </c>
    </row>
    <row r="139" spans="1:2" x14ac:dyDescent="0.25">
      <c r="A139" s="2" t="s">
        <v>107</v>
      </c>
      <c r="B139" s="7">
        <f>B137*1000/B138</f>
        <v>14.153079710144928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33"/>
  <sheetViews>
    <sheetView topLeftCell="A94" workbookViewId="0">
      <selection activeCell="B118" sqref="B118"/>
    </sheetView>
  </sheetViews>
  <sheetFormatPr defaultRowHeight="15" x14ac:dyDescent="0.25"/>
  <cols>
    <col min="1" max="1" width="65.85546875" bestFit="1" customWidth="1"/>
    <col min="2" max="2" width="42.85546875" bestFit="1" customWidth="1"/>
    <col min="3" max="3" width="48.7109375" bestFit="1" customWidth="1"/>
    <col min="4" max="4" width="105.42578125" bestFit="1" customWidth="1"/>
    <col min="5" max="5" width="47.85546875" bestFit="1" customWidth="1"/>
    <col min="6" max="6" width="37.28515625" bestFit="1" customWidth="1"/>
    <col min="7" max="7" width="22.140625" bestFit="1" customWidth="1"/>
    <col min="8" max="8" width="23.85546875" bestFit="1" customWidth="1"/>
    <col min="9" max="9" width="18" customWidth="1"/>
  </cols>
  <sheetData>
    <row r="1" spans="1:9" ht="18.75" customHeight="1" x14ac:dyDescent="0.3">
      <c r="A1" s="18" t="s">
        <v>121</v>
      </c>
      <c r="B1" s="17"/>
      <c r="C1" s="17"/>
      <c r="D1" s="17"/>
      <c r="E1" s="17"/>
      <c r="F1" s="17"/>
      <c r="G1" s="17"/>
      <c r="H1" s="17"/>
      <c r="I1" s="17"/>
    </row>
    <row r="3" spans="1:9" x14ac:dyDescent="0.25">
      <c r="A3" s="16" t="s">
        <v>122</v>
      </c>
      <c r="B3" s="17"/>
      <c r="C3" s="17"/>
      <c r="D3" s="17"/>
      <c r="E3" s="17"/>
      <c r="F3" s="17"/>
      <c r="G3" s="17"/>
      <c r="H3" s="17"/>
      <c r="I3" s="17"/>
    </row>
    <row r="4" spans="1:9" x14ac:dyDescent="0.25">
      <c r="A4" s="10" t="s">
        <v>123</v>
      </c>
      <c r="B4" s="10" t="s">
        <v>124</v>
      </c>
      <c r="C4" s="10" t="s">
        <v>125</v>
      </c>
      <c r="D4" s="10" t="s">
        <v>126</v>
      </c>
      <c r="E4" s="10" t="s">
        <v>127</v>
      </c>
      <c r="F4" s="10" t="s">
        <v>128</v>
      </c>
      <c r="G4" s="10" t="s">
        <v>129</v>
      </c>
      <c r="H4" s="10" t="s">
        <v>130</v>
      </c>
      <c r="I4" s="10"/>
    </row>
    <row r="5" spans="1:9" x14ac:dyDescent="0.25">
      <c r="A5" s="2">
        <v>1.5</v>
      </c>
      <c r="B5" s="2">
        <v>13.5</v>
      </c>
      <c r="C5" s="2">
        <v>13</v>
      </c>
      <c r="D5" s="2">
        <v>13</v>
      </c>
      <c r="E5" s="2">
        <v>11.5</v>
      </c>
      <c r="F5" s="2">
        <v>12</v>
      </c>
      <c r="G5" s="2" t="s">
        <v>131</v>
      </c>
      <c r="H5" s="2" t="s">
        <v>132</v>
      </c>
      <c r="I5" s="2"/>
    </row>
    <row r="6" spans="1:9" x14ac:dyDescent="0.25">
      <c r="A6" s="2">
        <v>2.5</v>
      </c>
      <c r="B6" s="2">
        <v>18</v>
      </c>
      <c r="C6" s="2">
        <v>16</v>
      </c>
      <c r="D6" s="2">
        <v>17</v>
      </c>
      <c r="E6" s="2">
        <v>15</v>
      </c>
      <c r="F6" s="2">
        <v>16</v>
      </c>
      <c r="G6" s="2" t="s">
        <v>133</v>
      </c>
      <c r="H6" s="2" t="s">
        <v>134</v>
      </c>
      <c r="I6" s="2"/>
    </row>
    <row r="7" spans="1:9" x14ac:dyDescent="0.25">
      <c r="A7" s="2">
        <v>4</v>
      </c>
      <c r="B7" s="2">
        <v>24</v>
      </c>
      <c r="C7" s="2">
        <v>21</v>
      </c>
      <c r="D7" s="2">
        <v>23</v>
      </c>
      <c r="E7" s="2">
        <v>20</v>
      </c>
      <c r="F7" s="2">
        <v>21</v>
      </c>
      <c r="G7" s="2" t="s">
        <v>135</v>
      </c>
      <c r="H7" s="2" t="s">
        <v>136</v>
      </c>
      <c r="I7" s="2"/>
    </row>
    <row r="8" spans="1:9" x14ac:dyDescent="0.25">
      <c r="A8" s="2">
        <v>6</v>
      </c>
      <c r="B8" s="2">
        <v>31</v>
      </c>
      <c r="C8" s="2">
        <v>26</v>
      </c>
      <c r="D8" s="2">
        <v>30</v>
      </c>
      <c r="E8" s="2">
        <v>25</v>
      </c>
      <c r="F8" s="2">
        <v>27</v>
      </c>
      <c r="G8" s="2" t="s">
        <v>137</v>
      </c>
      <c r="H8" s="2" t="s">
        <v>138</v>
      </c>
      <c r="I8" s="2"/>
    </row>
    <row r="9" spans="1:9" x14ac:dyDescent="0.25">
      <c r="A9" s="2">
        <v>10</v>
      </c>
      <c r="B9" s="2">
        <v>42</v>
      </c>
      <c r="C9" s="2">
        <v>36</v>
      </c>
      <c r="D9" s="2">
        <v>40</v>
      </c>
      <c r="E9" s="2">
        <v>34</v>
      </c>
      <c r="F9" s="2">
        <v>37</v>
      </c>
      <c r="G9" s="2" t="s">
        <v>139</v>
      </c>
      <c r="H9" s="2" t="s">
        <v>140</v>
      </c>
      <c r="I9" s="2"/>
    </row>
    <row r="10" spans="1:9" x14ac:dyDescent="0.25">
      <c r="A10" s="2">
        <v>16</v>
      </c>
      <c r="B10" s="2">
        <v>56</v>
      </c>
      <c r="C10" s="2">
        <v>46</v>
      </c>
      <c r="D10" s="2">
        <v>51</v>
      </c>
      <c r="E10" s="2">
        <v>43</v>
      </c>
      <c r="F10" s="2">
        <v>47</v>
      </c>
      <c r="G10" s="2" t="s">
        <v>141</v>
      </c>
      <c r="H10" s="2" t="s">
        <v>142</v>
      </c>
      <c r="I10" s="2"/>
    </row>
    <row r="11" spans="1:9" x14ac:dyDescent="0.25">
      <c r="A11" s="2">
        <v>25</v>
      </c>
      <c r="B11" s="2">
        <v>73</v>
      </c>
      <c r="C11" s="2">
        <v>61</v>
      </c>
      <c r="D11" s="2">
        <v>68</v>
      </c>
      <c r="E11" s="2">
        <v>58</v>
      </c>
      <c r="F11" s="2">
        <v>64</v>
      </c>
      <c r="G11" s="2" t="s">
        <v>143</v>
      </c>
      <c r="H11" s="2" t="s">
        <v>144</v>
      </c>
      <c r="I11" s="2"/>
    </row>
    <row r="12" spans="1:9" x14ac:dyDescent="0.25">
      <c r="A12" s="2">
        <v>35</v>
      </c>
      <c r="B12" s="2">
        <v>89</v>
      </c>
      <c r="C12" s="2">
        <v>75</v>
      </c>
      <c r="D12" s="2">
        <v>84</v>
      </c>
      <c r="E12" s="2">
        <v>71</v>
      </c>
      <c r="F12" s="2">
        <v>79</v>
      </c>
      <c r="G12" s="2" t="s">
        <v>145</v>
      </c>
      <c r="H12" s="2" t="s">
        <v>146</v>
      </c>
      <c r="I12" s="2"/>
    </row>
    <row r="13" spans="1:9" x14ac:dyDescent="0.25">
      <c r="A13" s="2">
        <v>50</v>
      </c>
      <c r="B13" s="2">
        <v>108</v>
      </c>
      <c r="C13" s="2">
        <v>92</v>
      </c>
      <c r="D13" s="2">
        <v>99</v>
      </c>
      <c r="E13" s="2">
        <v>86</v>
      </c>
      <c r="F13" s="2">
        <v>96</v>
      </c>
      <c r="G13" s="2" t="s">
        <v>147</v>
      </c>
      <c r="H13" s="2" t="s">
        <v>148</v>
      </c>
      <c r="I13" s="2"/>
    </row>
    <row r="14" spans="1:9" x14ac:dyDescent="0.25">
      <c r="A14" s="2">
        <v>70</v>
      </c>
      <c r="B14" s="2">
        <v>136</v>
      </c>
      <c r="C14" s="2">
        <v>116</v>
      </c>
      <c r="D14" s="2">
        <v>119</v>
      </c>
      <c r="E14" s="2">
        <v>103</v>
      </c>
      <c r="F14" s="2">
        <v>116</v>
      </c>
      <c r="G14" s="2" t="s">
        <v>149</v>
      </c>
      <c r="H14" s="2" t="s">
        <v>150</v>
      </c>
      <c r="I14" s="2"/>
    </row>
    <row r="15" spans="1:9" x14ac:dyDescent="0.25">
      <c r="A15" s="2">
        <v>95</v>
      </c>
      <c r="B15" s="2">
        <v>164</v>
      </c>
      <c r="C15" s="2">
        <v>141</v>
      </c>
      <c r="D15" s="2">
        <v>144</v>
      </c>
      <c r="E15" s="2">
        <v>125</v>
      </c>
      <c r="F15" s="2">
        <v>141</v>
      </c>
      <c r="G15" s="2" t="s">
        <v>151</v>
      </c>
      <c r="H15" s="2" t="s">
        <v>152</v>
      </c>
      <c r="I15" s="2"/>
    </row>
    <row r="16" spans="1:9" x14ac:dyDescent="0.25">
      <c r="A16" s="2">
        <v>120</v>
      </c>
      <c r="B16" s="2">
        <v>192</v>
      </c>
      <c r="C16" s="2">
        <v>164</v>
      </c>
      <c r="D16" s="2">
        <v>171</v>
      </c>
      <c r="E16" s="2">
        <v>149</v>
      </c>
      <c r="F16" s="2">
        <v>169</v>
      </c>
      <c r="G16" s="2" t="s">
        <v>153</v>
      </c>
      <c r="H16" s="2" t="s">
        <v>154</v>
      </c>
      <c r="I16" s="2"/>
    </row>
    <row r="17" spans="1:9" x14ac:dyDescent="0.25">
      <c r="A17" s="2">
        <v>150</v>
      </c>
      <c r="B17" s="2">
        <v>219</v>
      </c>
      <c r="C17" s="2">
        <v>188</v>
      </c>
      <c r="D17" s="2">
        <v>196</v>
      </c>
      <c r="E17" s="2">
        <v>172</v>
      </c>
      <c r="F17" s="2">
        <v>195</v>
      </c>
      <c r="G17" s="2" t="s">
        <v>155</v>
      </c>
      <c r="H17" s="2" t="s">
        <v>156</v>
      </c>
      <c r="I17" s="2"/>
    </row>
    <row r="18" spans="1:9" x14ac:dyDescent="0.25">
      <c r="A18" s="2">
        <v>185</v>
      </c>
      <c r="B18" s="2">
        <v>263</v>
      </c>
      <c r="C18" s="2">
        <v>226</v>
      </c>
      <c r="D18" s="2">
        <v>238</v>
      </c>
      <c r="E18" s="2">
        <v>209</v>
      </c>
      <c r="F18" s="2">
        <v>237</v>
      </c>
      <c r="G18" s="2" t="s">
        <v>157</v>
      </c>
      <c r="H18" s="2" t="s">
        <v>158</v>
      </c>
      <c r="I18" s="2"/>
    </row>
    <row r="19" spans="1:9" x14ac:dyDescent="0.25">
      <c r="A19" s="2">
        <v>240</v>
      </c>
      <c r="B19" s="2">
        <v>308</v>
      </c>
      <c r="C19" s="2">
        <v>264</v>
      </c>
      <c r="D19" s="2">
        <v>276</v>
      </c>
      <c r="E19" s="2">
        <v>244</v>
      </c>
      <c r="F19" s="2">
        <v>278</v>
      </c>
      <c r="G19" s="2" t="s">
        <v>159</v>
      </c>
      <c r="H19" s="2" t="s">
        <v>160</v>
      </c>
      <c r="I19" s="2"/>
    </row>
    <row r="20" spans="1:9" x14ac:dyDescent="0.25">
      <c r="A20" s="2">
        <v>300</v>
      </c>
      <c r="B20" s="2">
        <v>354</v>
      </c>
      <c r="C20" s="2">
        <v>304</v>
      </c>
      <c r="D20" s="2">
        <v>328</v>
      </c>
      <c r="E20" s="2">
        <v>290</v>
      </c>
      <c r="F20" s="2">
        <v>330</v>
      </c>
      <c r="G20" s="2" t="s">
        <v>161</v>
      </c>
      <c r="H20" s="2" t="s">
        <v>162</v>
      </c>
      <c r="I20" s="2"/>
    </row>
    <row r="21" spans="1:9" x14ac:dyDescent="0.25">
      <c r="A21" s="2">
        <v>400</v>
      </c>
      <c r="B21" s="2">
        <v>423</v>
      </c>
      <c r="C21" s="2">
        <v>364</v>
      </c>
      <c r="D21" s="2">
        <v>382</v>
      </c>
      <c r="E21" s="2">
        <v>341</v>
      </c>
      <c r="F21" s="2">
        <v>390</v>
      </c>
      <c r="G21" s="2" t="s">
        <v>163</v>
      </c>
      <c r="H21" s="2" t="s">
        <v>164</v>
      </c>
      <c r="I21" s="2"/>
    </row>
    <row r="22" spans="1:9" x14ac:dyDescent="0.25">
      <c r="A22" s="2">
        <v>500</v>
      </c>
      <c r="B22" s="2">
        <v>486</v>
      </c>
      <c r="C22" s="2">
        <v>420</v>
      </c>
      <c r="D22" s="2">
        <v>440</v>
      </c>
      <c r="E22" s="2">
        <v>394</v>
      </c>
      <c r="F22" s="2">
        <v>450</v>
      </c>
      <c r="G22" s="2" t="s">
        <v>165</v>
      </c>
      <c r="H22" s="2" t="s">
        <v>166</v>
      </c>
      <c r="I22" s="2"/>
    </row>
    <row r="23" spans="1:9" x14ac:dyDescent="0.25">
      <c r="A23" s="2" t="s">
        <v>167</v>
      </c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 t="s">
        <v>168</v>
      </c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 t="s">
        <v>169</v>
      </c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 t="s">
        <v>170</v>
      </c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 t="s">
        <v>171</v>
      </c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 t="s">
        <v>172</v>
      </c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 t="s">
        <v>173</v>
      </c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2" t="s">
        <v>174</v>
      </c>
      <c r="B33" s="2" t="s">
        <v>175</v>
      </c>
      <c r="C33" s="2" t="s">
        <v>176</v>
      </c>
      <c r="D33" s="2" t="s">
        <v>177</v>
      </c>
      <c r="E33" s="2" t="s">
        <v>130</v>
      </c>
      <c r="F33" s="2" t="s">
        <v>178</v>
      </c>
      <c r="G33" s="2"/>
      <c r="H33" s="2"/>
      <c r="I33" s="2"/>
    </row>
    <row r="34" spans="1:9" x14ac:dyDescent="0.25">
      <c r="A34" s="2" t="s">
        <v>179</v>
      </c>
      <c r="B34" s="2" t="s">
        <v>180</v>
      </c>
      <c r="C34" s="2" t="s">
        <v>181</v>
      </c>
      <c r="D34" s="2" t="s">
        <v>182</v>
      </c>
      <c r="E34" s="2" t="s">
        <v>183</v>
      </c>
      <c r="F34" s="2" t="s">
        <v>184</v>
      </c>
      <c r="G34" s="2"/>
      <c r="H34" s="2"/>
      <c r="I34" s="2"/>
    </row>
    <row r="35" spans="1:9" x14ac:dyDescent="0.25">
      <c r="A35" s="2" t="s">
        <v>179</v>
      </c>
      <c r="B35" s="2" t="s">
        <v>185</v>
      </c>
      <c r="C35" s="2" t="s">
        <v>186</v>
      </c>
      <c r="D35" s="2" t="s">
        <v>187</v>
      </c>
      <c r="E35" s="2" t="s">
        <v>188</v>
      </c>
      <c r="F35" s="2" t="s">
        <v>189</v>
      </c>
      <c r="G35" s="2"/>
      <c r="H35" s="2"/>
      <c r="I35" s="2"/>
    </row>
    <row r="36" spans="1:9" x14ac:dyDescent="0.25">
      <c r="A36" s="2" t="s">
        <v>179</v>
      </c>
      <c r="B36" s="2" t="s">
        <v>190</v>
      </c>
      <c r="C36" s="2" t="s">
        <v>191</v>
      </c>
      <c r="D36" s="2" t="s">
        <v>192</v>
      </c>
      <c r="E36" s="2" t="s">
        <v>193</v>
      </c>
      <c r="F36" s="2" t="s">
        <v>194</v>
      </c>
      <c r="G36" s="2"/>
      <c r="H36" s="2"/>
      <c r="I36" s="2"/>
    </row>
    <row r="37" spans="1:9" x14ac:dyDescent="0.25">
      <c r="A37" s="2" t="s">
        <v>195</v>
      </c>
      <c r="B37" s="2" t="s">
        <v>196</v>
      </c>
      <c r="C37" s="2" t="s">
        <v>197</v>
      </c>
      <c r="D37" s="2"/>
      <c r="E37" s="2" t="s">
        <v>198</v>
      </c>
      <c r="F37" s="2" t="s">
        <v>199</v>
      </c>
      <c r="G37" s="2"/>
      <c r="H37" s="2"/>
      <c r="I37" s="2"/>
    </row>
    <row r="38" spans="1:9" x14ac:dyDescent="0.25">
      <c r="A38" s="2" t="s">
        <v>200</v>
      </c>
      <c r="B38" s="2" t="s">
        <v>201</v>
      </c>
      <c r="C38" s="2" t="s">
        <v>202</v>
      </c>
      <c r="D38" s="2" t="s">
        <v>203</v>
      </c>
      <c r="E38" s="2" t="s">
        <v>204</v>
      </c>
      <c r="F38" s="2" t="s">
        <v>205</v>
      </c>
      <c r="G38" s="2"/>
      <c r="H38" s="2"/>
      <c r="I38" s="2"/>
    </row>
    <row r="39" spans="1:9" x14ac:dyDescent="0.25">
      <c r="A39" s="2" t="s">
        <v>200</v>
      </c>
      <c r="B39" s="2" t="s">
        <v>185</v>
      </c>
      <c r="C39" s="2" t="s">
        <v>206</v>
      </c>
      <c r="D39" s="2"/>
      <c r="E39" s="2" t="s">
        <v>207</v>
      </c>
      <c r="F39" s="2" t="s">
        <v>208</v>
      </c>
      <c r="G39" s="2"/>
      <c r="H39" s="2"/>
      <c r="I39" s="2"/>
    </row>
    <row r="40" spans="1:9" x14ac:dyDescent="0.25">
      <c r="A40" s="2" t="s">
        <v>209</v>
      </c>
      <c r="B40" s="2" t="s">
        <v>196</v>
      </c>
      <c r="C40" s="2" t="s">
        <v>210</v>
      </c>
      <c r="D40" s="2"/>
      <c r="E40" s="2" t="s">
        <v>211</v>
      </c>
      <c r="F40" s="2" t="s">
        <v>212</v>
      </c>
      <c r="G40" s="2"/>
      <c r="H40" s="2"/>
      <c r="I40" s="2"/>
    </row>
    <row r="41" spans="1:9" x14ac:dyDescent="0.25">
      <c r="A41" s="2" t="s">
        <v>213</v>
      </c>
      <c r="B41" s="2" t="s">
        <v>214</v>
      </c>
      <c r="C41" s="2" t="s">
        <v>215</v>
      </c>
      <c r="D41" s="2" t="s">
        <v>216</v>
      </c>
      <c r="E41" s="2" t="s">
        <v>217</v>
      </c>
      <c r="F41" s="2"/>
      <c r="G41" s="2"/>
      <c r="H41" s="2"/>
      <c r="I41" s="2"/>
    </row>
    <row r="42" spans="1:9" x14ac:dyDescent="0.25">
      <c r="A42" s="2" t="s">
        <v>213</v>
      </c>
      <c r="B42" s="2" t="s">
        <v>218</v>
      </c>
      <c r="C42" s="2" t="s">
        <v>219</v>
      </c>
      <c r="D42" s="2" t="s">
        <v>220</v>
      </c>
      <c r="E42" s="2" t="s">
        <v>221</v>
      </c>
      <c r="F42" s="2"/>
      <c r="G42" s="2"/>
      <c r="H42" s="2"/>
      <c r="I42" s="2"/>
    </row>
    <row r="43" spans="1:9" x14ac:dyDescent="0.25">
      <c r="A43" s="2" t="s">
        <v>222</v>
      </c>
      <c r="B43" s="2" t="s">
        <v>223</v>
      </c>
      <c r="C43" s="2" t="s">
        <v>224</v>
      </c>
      <c r="D43" s="2" t="s">
        <v>225</v>
      </c>
      <c r="E43" s="2" t="s">
        <v>226</v>
      </c>
      <c r="F43" s="2" t="s">
        <v>227</v>
      </c>
      <c r="G43" s="2"/>
      <c r="H43" s="2"/>
      <c r="I43" s="2"/>
    </row>
    <row r="44" spans="1:9" x14ac:dyDescent="0.25">
      <c r="A44" s="2" t="s">
        <v>222</v>
      </c>
      <c r="B44" s="2" t="s">
        <v>228</v>
      </c>
      <c r="C44" s="2" t="s">
        <v>229</v>
      </c>
      <c r="D44" s="2"/>
      <c r="E44" s="2"/>
      <c r="F44" s="2"/>
      <c r="G44" s="2"/>
      <c r="H44" s="2"/>
      <c r="I44" s="2"/>
    </row>
    <row r="45" spans="1:9" x14ac:dyDescent="0.25">
      <c r="A45" s="2" t="s">
        <v>222</v>
      </c>
      <c r="B45" s="2" t="s">
        <v>230</v>
      </c>
      <c r="C45" s="2" t="s">
        <v>231</v>
      </c>
      <c r="D45" s="2"/>
      <c r="E45" s="2" t="s">
        <v>232</v>
      </c>
      <c r="F45" s="2"/>
      <c r="G45" s="2"/>
      <c r="H45" s="2"/>
      <c r="I45" s="2"/>
    </row>
    <row r="46" spans="1:9" x14ac:dyDescent="0.25">
      <c r="A46" s="2" t="s">
        <v>222</v>
      </c>
      <c r="B46" s="2" t="s">
        <v>233</v>
      </c>
      <c r="C46" s="2" t="s">
        <v>234</v>
      </c>
      <c r="D46" s="2"/>
      <c r="E46" s="2" t="s">
        <v>235</v>
      </c>
      <c r="F46" s="2"/>
      <c r="G46" s="2"/>
      <c r="H46" s="2"/>
      <c r="I46" s="2"/>
    </row>
    <row r="47" spans="1:9" x14ac:dyDescent="0.25">
      <c r="A47" s="2" t="s">
        <v>236</v>
      </c>
      <c r="B47" s="2" t="s">
        <v>237</v>
      </c>
      <c r="C47" s="2" t="s">
        <v>238</v>
      </c>
      <c r="D47" s="2" t="s">
        <v>239</v>
      </c>
      <c r="E47" s="2" t="s">
        <v>240</v>
      </c>
      <c r="F47" s="2"/>
      <c r="G47" s="2"/>
      <c r="H47" s="2"/>
      <c r="I47" s="2"/>
    </row>
    <row r="48" spans="1:9" x14ac:dyDescent="0.25">
      <c r="A48" s="2" t="s">
        <v>236</v>
      </c>
      <c r="B48" s="2" t="s">
        <v>241</v>
      </c>
      <c r="C48" s="2" t="s">
        <v>242</v>
      </c>
      <c r="D48" s="2" t="s">
        <v>243</v>
      </c>
      <c r="E48" s="2" t="s">
        <v>244</v>
      </c>
      <c r="F48" s="2"/>
      <c r="G48" s="2"/>
      <c r="H48" s="2"/>
      <c r="I48" s="2"/>
    </row>
    <row r="49" spans="1:9" x14ac:dyDescent="0.25">
      <c r="A49" s="2" t="s">
        <v>245</v>
      </c>
      <c r="B49" s="2" t="s">
        <v>246</v>
      </c>
      <c r="C49" s="2" t="s">
        <v>247</v>
      </c>
      <c r="D49" s="2" t="s">
        <v>248</v>
      </c>
      <c r="E49" s="2" t="s">
        <v>249</v>
      </c>
      <c r="F49" s="2" t="s">
        <v>250</v>
      </c>
      <c r="G49" s="2"/>
      <c r="H49" s="2"/>
      <c r="I49" s="2"/>
    </row>
    <row r="50" spans="1:9" x14ac:dyDescent="0.25">
      <c r="A50" s="2" t="s">
        <v>245</v>
      </c>
      <c r="B50" s="2" t="s">
        <v>251</v>
      </c>
      <c r="C50" s="2" t="s">
        <v>252</v>
      </c>
      <c r="D50" s="2" t="s">
        <v>253</v>
      </c>
      <c r="E50" s="2" t="s">
        <v>254</v>
      </c>
      <c r="F50" s="2" t="s">
        <v>255</v>
      </c>
      <c r="G50" s="2"/>
      <c r="H50" s="2"/>
      <c r="I50" s="2"/>
    </row>
    <row r="51" spans="1:9" x14ac:dyDescent="0.25">
      <c r="A51" s="2" t="s">
        <v>256</v>
      </c>
      <c r="B51" s="2" t="s">
        <v>257</v>
      </c>
      <c r="C51" s="2" t="s">
        <v>258</v>
      </c>
      <c r="D51" s="2" t="s">
        <v>259</v>
      </c>
      <c r="E51" s="2" t="s">
        <v>260</v>
      </c>
      <c r="F51" s="2"/>
      <c r="G51" s="2"/>
      <c r="H51" s="2"/>
      <c r="I51" s="2"/>
    </row>
    <row r="52" spans="1:9" x14ac:dyDescent="0.25">
      <c r="A52" s="2" t="s">
        <v>256</v>
      </c>
      <c r="B52" s="2" t="s">
        <v>45</v>
      </c>
      <c r="C52" s="2" t="s">
        <v>261</v>
      </c>
      <c r="D52" s="2" t="s">
        <v>262</v>
      </c>
      <c r="E52" s="2" t="s">
        <v>263</v>
      </c>
      <c r="F52" s="2" t="s">
        <v>264</v>
      </c>
      <c r="G52" s="2"/>
      <c r="H52" s="2"/>
      <c r="I52" s="2"/>
    </row>
    <row r="53" spans="1:9" x14ac:dyDescent="0.25">
      <c r="A53" s="2" t="s">
        <v>265</v>
      </c>
      <c r="B53" s="2" t="s">
        <v>266</v>
      </c>
      <c r="C53" s="2" t="s">
        <v>267</v>
      </c>
      <c r="D53" s="2" t="s">
        <v>268</v>
      </c>
      <c r="E53" s="2" t="s">
        <v>269</v>
      </c>
      <c r="F53" s="2"/>
      <c r="G53" s="2"/>
      <c r="H53" s="2"/>
      <c r="I53" s="2"/>
    </row>
    <row r="54" spans="1:9" x14ac:dyDescent="0.25">
      <c r="A54" s="2" t="s">
        <v>265</v>
      </c>
      <c r="B54" s="2" t="s">
        <v>270</v>
      </c>
      <c r="C54" s="2" t="s">
        <v>271</v>
      </c>
      <c r="D54" s="2"/>
      <c r="E54" s="2" t="s">
        <v>272</v>
      </c>
      <c r="F54" s="2"/>
      <c r="G54" s="2"/>
      <c r="H54" s="2"/>
      <c r="I54" s="2"/>
    </row>
    <row r="55" spans="1:9" x14ac:dyDescent="0.25">
      <c r="A55" s="2" t="s">
        <v>273</v>
      </c>
      <c r="B55" s="2" t="s">
        <v>273</v>
      </c>
      <c r="C55" s="2" t="s">
        <v>274</v>
      </c>
      <c r="D55" s="2" t="s">
        <v>275</v>
      </c>
      <c r="E55" s="2" t="s">
        <v>276</v>
      </c>
      <c r="F55" s="2" t="s">
        <v>277</v>
      </c>
      <c r="G55" s="2"/>
      <c r="H55" s="2"/>
      <c r="I55" s="2"/>
    </row>
    <row r="56" spans="1:9" x14ac:dyDescent="0.25">
      <c r="A56" s="2" t="s">
        <v>273</v>
      </c>
      <c r="B56" s="2" t="s">
        <v>278</v>
      </c>
      <c r="C56" s="2" t="s">
        <v>279</v>
      </c>
      <c r="D56" s="2" t="s">
        <v>280</v>
      </c>
      <c r="E56" s="2" t="s">
        <v>281</v>
      </c>
      <c r="F56" s="2"/>
      <c r="G56" s="2"/>
      <c r="H56" s="2"/>
      <c r="I56" s="2"/>
    </row>
    <row r="57" spans="1:9" x14ac:dyDescent="0.25">
      <c r="A57" s="2" t="s">
        <v>282</v>
      </c>
      <c r="B57" s="2" t="s">
        <v>283</v>
      </c>
      <c r="C57" s="2" t="s">
        <v>284</v>
      </c>
      <c r="D57" s="2" t="s">
        <v>285</v>
      </c>
      <c r="E57" s="2" t="s">
        <v>286</v>
      </c>
      <c r="F57" s="2" t="s">
        <v>287</v>
      </c>
      <c r="G57" s="2"/>
      <c r="H57" s="2"/>
      <c r="I57" s="2"/>
    </row>
    <row r="58" spans="1:9" x14ac:dyDescent="0.25">
      <c r="A58" s="2" t="s">
        <v>288</v>
      </c>
      <c r="B58" s="2" t="s">
        <v>289</v>
      </c>
      <c r="C58" s="2" t="s">
        <v>290</v>
      </c>
      <c r="D58" s="2" t="s">
        <v>291</v>
      </c>
      <c r="E58" s="2" t="s">
        <v>292</v>
      </c>
      <c r="F58" s="2" t="s">
        <v>293</v>
      </c>
      <c r="G58" s="2"/>
      <c r="H58" s="2"/>
      <c r="I58" s="2"/>
    </row>
    <row r="59" spans="1:9" x14ac:dyDescent="0.25">
      <c r="A59" s="2" t="s">
        <v>288</v>
      </c>
      <c r="B59" s="2" t="s">
        <v>294</v>
      </c>
      <c r="C59" s="2" t="s">
        <v>295</v>
      </c>
      <c r="D59" s="2" t="s">
        <v>296</v>
      </c>
      <c r="E59" s="2"/>
      <c r="F59" s="2"/>
      <c r="G59" s="2"/>
      <c r="H59" s="2"/>
      <c r="I59" s="2"/>
    </row>
    <row r="60" spans="1:9" x14ac:dyDescent="0.25">
      <c r="A60" s="2" t="s">
        <v>297</v>
      </c>
      <c r="B60" s="2" t="s">
        <v>298</v>
      </c>
      <c r="C60" s="2" t="s">
        <v>299</v>
      </c>
      <c r="D60" s="2" t="s">
        <v>300</v>
      </c>
      <c r="E60" s="2" t="s">
        <v>301</v>
      </c>
      <c r="F60" s="2" t="s">
        <v>302</v>
      </c>
      <c r="G60" s="2"/>
      <c r="H60" s="2"/>
      <c r="I60" s="2"/>
    </row>
    <row r="61" spans="1:9" x14ac:dyDescent="0.25">
      <c r="A61" s="2" t="s">
        <v>303</v>
      </c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 t="s">
        <v>304</v>
      </c>
      <c r="B62" s="2" t="s">
        <v>305</v>
      </c>
      <c r="C62" s="2" t="s">
        <v>306</v>
      </c>
      <c r="D62" s="2" t="s">
        <v>307</v>
      </c>
      <c r="E62" s="2" t="s">
        <v>130</v>
      </c>
      <c r="F62" s="2"/>
      <c r="G62" s="2"/>
      <c r="H62" s="2"/>
      <c r="I62" s="2"/>
    </row>
    <row r="63" spans="1:9" x14ac:dyDescent="0.25">
      <c r="A63" s="2" t="s">
        <v>308</v>
      </c>
      <c r="B63" s="2" t="s">
        <v>309</v>
      </c>
      <c r="C63" s="2" t="s">
        <v>310</v>
      </c>
      <c r="D63" s="2" t="s">
        <v>311</v>
      </c>
      <c r="E63" s="2" t="s">
        <v>312</v>
      </c>
      <c r="F63" s="2"/>
      <c r="G63" s="2"/>
      <c r="H63" s="2"/>
      <c r="I63" s="2"/>
    </row>
    <row r="64" spans="1:9" x14ac:dyDescent="0.25">
      <c r="A64" s="2" t="s">
        <v>308</v>
      </c>
      <c r="B64" s="2" t="s">
        <v>313</v>
      </c>
      <c r="C64" s="2" t="s">
        <v>314</v>
      </c>
      <c r="D64" s="2" t="s">
        <v>315</v>
      </c>
      <c r="E64" s="2" t="s">
        <v>316</v>
      </c>
      <c r="F64" s="2"/>
      <c r="G64" s="2"/>
      <c r="H64" s="2"/>
      <c r="I64" s="2"/>
    </row>
    <row r="65" spans="1:9" x14ac:dyDescent="0.25">
      <c r="A65" s="2" t="s">
        <v>308</v>
      </c>
      <c r="B65" s="2" t="s">
        <v>317</v>
      </c>
      <c r="C65" s="2" t="s">
        <v>314</v>
      </c>
      <c r="D65" s="2" t="s">
        <v>318</v>
      </c>
      <c r="E65" s="2" t="s">
        <v>319</v>
      </c>
      <c r="F65" s="2"/>
      <c r="G65" s="2"/>
      <c r="H65" s="2"/>
      <c r="I65" s="2"/>
    </row>
    <row r="66" spans="1:9" x14ac:dyDescent="0.25">
      <c r="A66" s="2" t="s">
        <v>320</v>
      </c>
      <c r="B66" s="2" t="s">
        <v>321</v>
      </c>
      <c r="C66" s="2" t="s">
        <v>322</v>
      </c>
      <c r="D66" s="2" t="s">
        <v>323</v>
      </c>
      <c r="E66" s="2" t="s">
        <v>324</v>
      </c>
      <c r="F66" s="2"/>
      <c r="G66" s="2"/>
      <c r="H66" s="2"/>
      <c r="I66" s="2"/>
    </row>
    <row r="67" spans="1:9" x14ac:dyDescent="0.25">
      <c r="A67" s="2" t="s">
        <v>320</v>
      </c>
      <c r="B67" s="2" t="s">
        <v>325</v>
      </c>
      <c r="C67" s="2" t="s">
        <v>322</v>
      </c>
      <c r="D67" s="2" t="s">
        <v>326</v>
      </c>
      <c r="E67" s="2" t="s">
        <v>327</v>
      </c>
      <c r="F67" s="2"/>
      <c r="G67" s="2"/>
      <c r="H67" s="2"/>
      <c r="I67" s="2"/>
    </row>
    <row r="68" spans="1:9" x14ac:dyDescent="0.25">
      <c r="A68" s="2" t="s">
        <v>320</v>
      </c>
      <c r="B68" s="2" t="s">
        <v>328</v>
      </c>
      <c r="C68" s="2" t="s">
        <v>314</v>
      </c>
      <c r="D68" s="2" t="s">
        <v>329</v>
      </c>
      <c r="E68" s="2" t="s">
        <v>330</v>
      </c>
      <c r="F68" s="2"/>
      <c r="G68" s="2"/>
      <c r="H68" s="2"/>
      <c r="I68" s="2"/>
    </row>
    <row r="69" spans="1:9" x14ac:dyDescent="0.25">
      <c r="A69" s="2" t="s">
        <v>245</v>
      </c>
      <c r="B69" s="2" t="s">
        <v>331</v>
      </c>
      <c r="C69" s="2" t="s">
        <v>314</v>
      </c>
      <c r="D69" s="2" t="s">
        <v>332</v>
      </c>
      <c r="E69" s="2" t="s">
        <v>333</v>
      </c>
      <c r="F69" s="2"/>
      <c r="G69" s="2"/>
      <c r="H69" s="2"/>
      <c r="I69" s="2"/>
    </row>
    <row r="70" spans="1:9" x14ac:dyDescent="0.25">
      <c r="A70" s="2" t="s">
        <v>245</v>
      </c>
      <c r="B70" s="2" t="s">
        <v>246</v>
      </c>
      <c r="C70" s="2" t="s">
        <v>334</v>
      </c>
      <c r="D70" s="2" t="s">
        <v>335</v>
      </c>
      <c r="E70" s="2" t="s">
        <v>336</v>
      </c>
      <c r="F70" s="2"/>
      <c r="G70" s="2"/>
      <c r="H70" s="2"/>
      <c r="I70" s="2"/>
    </row>
    <row r="71" spans="1:9" x14ac:dyDescent="0.25">
      <c r="A71" s="2" t="s">
        <v>245</v>
      </c>
      <c r="B71" s="2" t="s">
        <v>337</v>
      </c>
      <c r="C71" s="2" t="s">
        <v>338</v>
      </c>
      <c r="D71" s="2" t="s">
        <v>339</v>
      </c>
      <c r="E71" s="2" t="s">
        <v>340</v>
      </c>
      <c r="F71" s="2"/>
      <c r="G71" s="2"/>
      <c r="H71" s="2"/>
      <c r="I71" s="2"/>
    </row>
    <row r="72" spans="1:9" x14ac:dyDescent="0.25">
      <c r="A72" s="2" t="s">
        <v>341</v>
      </c>
      <c r="B72" s="2" t="s">
        <v>342</v>
      </c>
      <c r="C72" s="2" t="s">
        <v>343</v>
      </c>
      <c r="D72" s="2" t="s">
        <v>344</v>
      </c>
      <c r="E72" s="2" t="s">
        <v>345</v>
      </c>
      <c r="F72" s="2"/>
      <c r="G72" s="2"/>
      <c r="H72" s="2"/>
      <c r="I72" s="2"/>
    </row>
    <row r="73" spans="1:9" x14ac:dyDescent="0.25">
      <c r="A73" s="2" t="s">
        <v>341</v>
      </c>
      <c r="B73" s="2" t="s">
        <v>346</v>
      </c>
      <c r="C73" s="2" t="s">
        <v>347</v>
      </c>
      <c r="D73" s="2" t="s">
        <v>348</v>
      </c>
      <c r="E73" s="2" t="s">
        <v>349</v>
      </c>
      <c r="F73" s="2"/>
      <c r="G73" s="2"/>
      <c r="H73" s="2"/>
      <c r="I73" s="2"/>
    </row>
    <row r="74" spans="1:9" x14ac:dyDescent="0.25">
      <c r="A74" s="2" t="s">
        <v>350</v>
      </c>
      <c r="B74" s="2" t="s">
        <v>351</v>
      </c>
      <c r="C74" s="2" t="s">
        <v>352</v>
      </c>
      <c r="D74" s="2" t="s">
        <v>353</v>
      </c>
      <c r="E74" s="2" t="s">
        <v>354</v>
      </c>
      <c r="F74" s="2"/>
      <c r="G74" s="2"/>
      <c r="H74" s="2"/>
      <c r="I74" s="2"/>
    </row>
    <row r="75" spans="1:9" x14ac:dyDescent="0.25">
      <c r="A75" s="2" t="s">
        <v>350</v>
      </c>
      <c r="B75" s="2" t="s">
        <v>355</v>
      </c>
      <c r="C75" s="2" t="s">
        <v>352</v>
      </c>
      <c r="D75" s="2" t="s">
        <v>356</v>
      </c>
      <c r="E75" s="2" t="s">
        <v>357</v>
      </c>
      <c r="F75" s="2"/>
      <c r="G75" s="2"/>
      <c r="H75" s="2"/>
      <c r="I75" s="2"/>
    </row>
    <row r="76" spans="1:9" x14ac:dyDescent="0.25">
      <c r="A76" s="2" t="s">
        <v>350</v>
      </c>
      <c r="B76" s="2" t="s">
        <v>358</v>
      </c>
      <c r="C76" s="2" t="s">
        <v>359</v>
      </c>
      <c r="D76" s="2" t="s">
        <v>360</v>
      </c>
      <c r="E76" s="2" t="s">
        <v>361</v>
      </c>
      <c r="F76" s="2"/>
      <c r="G76" s="2"/>
      <c r="H76" s="2"/>
      <c r="I76" s="2"/>
    </row>
    <row r="77" spans="1:9" x14ac:dyDescent="0.25">
      <c r="A77" s="2" t="s">
        <v>350</v>
      </c>
      <c r="B77" s="2" t="s">
        <v>362</v>
      </c>
      <c r="C77" s="2" t="s">
        <v>363</v>
      </c>
      <c r="D77" s="2" t="s">
        <v>364</v>
      </c>
      <c r="E77" s="2" t="s">
        <v>365</v>
      </c>
      <c r="F77" s="2"/>
      <c r="G77" s="2"/>
      <c r="H77" s="2"/>
      <c r="I77" s="2"/>
    </row>
    <row r="78" spans="1:9" x14ac:dyDescent="0.25">
      <c r="A78" s="2" t="s">
        <v>366</v>
      </c>
      <c r="B78" s="2" t="s">
        <v>367</v>
      </c>
      <c r="C78" s="2" t="s">
        <v>314</v>
      </c>
      <c r="D78" s="2" t="s">
        <v>368</v>
      </c>
      <c r="E78" s="2" t="s">
        <v>369</v>
      </c>
      <c r="F78" s="2"/>
      <c r="G78" s="2"/>
      <c r="H78" s="2"/>
      <c r="I78" s="2"/>
    </row>
    <row r="79" spans="1:9" x14ac:dyDescent="0.25">
      <c r="A79" s="2" t="s">
        <v>366</v>
      </c>
      <c r="B79" s="2" t="s">
        <v>370</v>
      </c>
      <c r="C79" s="2" t="s">
        <v>314</v>
      </c>
      <c r="D79" s="2" t="s">
        <v>371</v>
      </c>
      <c r="E79" s="2" t="s">
        <v>372</v>
      </c>
      <c r="F79" s="2"/>
      <c r="G79" s="2"/>
      <c r="H79" s="2"/>
      <c r="I79" s="2"/>
    </row>
    <row r="80" spans="1:9" x14ac:dyDescent="0.25">
      <c r="A80" s="2" t="s">
        <v>213</v>
      </c>
      <c r="B80" s="2" t="s">
        <v>373</v>
      </c>
      <c r="C80" s="2" t="s">
        <v>374</v>
      </c>
      <c r="D80" s="2" t="s">
        <v>375</v>
      </c>
      <c r="E80" s="2" t="s">
        <v>376</v>
      </c>
      <c r="F80" s="2"/>
      <c r="G80" s="2"/>
      <c r="H80" s="2"/>
      <c r="I80" s="2"/>
    </row>
    <row r="81" spans="1:9" x14ac:dyDescent="0.25">
      <c r="A81" s="2" t="s">
        <v>213</v>
      </c>
      <c r="B81" s="2" t="s">
        <v>377</v>
      </c>
      <c r="C81" s="2" t="s">
        <v>378</v>
      </c>
      <c r="D81" s="2" t="s">
        <v>379</v>
      </c>
      <c r="E81" s="2" t="s">
        <v>380</v>
      </c>
      <c r="F81" s="2"/>
      <c r="G81" s="2"/>
      <c r="H81" s="2"/>
      <c r="I81" s="2"/>
    </row>
    <row r="82" spans="1:9" x14ac:dyDescent="0.25">
      <c r="A82" s="2" t="s">
        <v>381</v>
      </c>
      <c r="B82" s="2" t="s">
        <v>382</v>
      </c>
      <c r="C82" s="2" t="s">
        <v>378</v>
      </c>
      <c r="D82" s="2" t="s">
        <v>383</v>
      </c>
      <c r="E82" s="2" t="s">
        <v>384</v>
      </c>
      <c r="F82" s="2"/>
      <c r="G82" s="2"/>
      <c r="H82" s="2"/>
      <c r="I82" s="2"/>
    </row>
    <row r="83" spans="1:9" x14ac:dyDescent="0.25">
      <c r="A83" s="2" t="s">
        <v>381</v>
      </c>
      <c r="B83" s="2" t="s">
        <v>385</v>
      </c>
      <c r="C83" s="2" t="s">
        <v>314</v>
      </c>
      <c r="D83" s="2" t="s">
        <v>386</v>
      </c>
      <c r="E83" s="2" t="s">
        <v>387</v>
      </c>
      <c r="F83" s="2"/>
      <c r="G83" s="2"/>
      <c r="H83" s="2"/>
      <c r="I83" s="2"/>
    </row>
    <row r="84" spans="1:9" x14ac:dyDescent="0.25">
      <c r="A84" s="2" t="s">
        <v>388</v>
      </c>
      <c r="B84" s="2" t="s">
        <v>389</v>
      </c>
      <c r="C84" s="2" t="s">
        <v>314</v>
      </c>
      <c r="D84" s="2" t="s">
        <v>390</v>
      </c>
      <c r="E84" s="2" t="s">
        <v>391</v>
      </c>
      <c r="F84" s="2"/>
      <c r="G84" s="2"/>
      <c r="H84" s="2"/>
      <c r="I84" s="2"/>
    </row>
    <row r="85" spans="1:9" x14ac:dyDescent="0.25">
      <c r="A85" s="2" t="s">
        <v>388</v>
      </c>
      <c r="B85" s="2" t="s">
        <v>392</v>
      </c>
      <c r="C85" s="2" t="s">
        <v>393</v>
      </c>
      <c r="D85" s="2" t="s">
        <v>394</v>
      </c>
      <c r="E85" s="2" t="s">
        <v>395</v>
      </c>
      <c r="F85" s="2"/>
      <c r="G85" s="2"/>
      <c r="H85" s="2"/>
      <c r="I85" s="2"/>
    </row>
    <row r="86" spans="1:9" x14ac:dyDescent="0.25">
      <c r="A86" s="2" t="s">
        <v>396</v>
      </c>
      <c r="B86" s="2" t="s">
        <v>397</v>
      </c>
      <c r="C86" s="2" t="s">
        <v>398</v>
      </c>
      <c r="D86" s="2" t="s">
        <v>399</v>
      </c>
      <c r="E86" s="2" t="s">
        <v>400</v>
      </c>
      <c r="F86" s="2"/>
      <c r="G86" s="2"/>
      <c r="H86" s="2"/>
      <c r="I86" s="2"/>
    </row>
    <row r="87" spans="1:9" x14ac:dyDescent="0.25">
      <c r="A87" s="2" t="s">
        <v>396</v>
      </c>
      <c r="B87" s="2" t="s">
        <v>401</v>
      </c>
      <c r="C87" s="2" t="s">
        <v>402</v>
      </c>
      <c r="D87" s="2" t="s">
        <v>403</v>
      </c>
      <c r="E87" s="2" t="s">
        <v>404</v>
      </c>
      <c r="F87" s="2"/>
      <c r="G87" s="2"/>
      <c r="H87" s="2"/>
      <c r="I87" s="2"/>
    </row>
    <row r="88" spans="1:9" x14ac:dyDescent="0.25">
      <c r="A88" s="2" t="s">
        <v>405</v>
      </c>
      <c r="B88" s="2" t="s">
        <v>406</v>
      </c>
      <c r="C88" s="2" t="s">
        <v>314</v>
      </c>
      <c r="D88" s="2" t="s">
        <v>407</v>
      </c>
      <c r="E88" s="2" t="s">
        <v>408</v>
      </c>
      <c r="F88" s="2"/>
      <c r="G88" s="2"/>
      <c r="H88" s="2"/>
      <c r="I88" s="2"/>
    </row>
    <row r="89" spans="1:9" x14ac:dyDescent="0.25">
      <c r="A89" s="2" t="s">
        <v>409</v>
      </c>
      <c r="B89" s="2" t="s">
        <v>410</v>
      </c>
      <c r="C89" s="2" t="s">
        <v>411</v>
      </c>
      <c r="D89" s="2" t="s">
        <v>412</v>
      </c>
      <c r="E89" s="2" t="s">
        <v>413</v>
      </c>
      <c r="F89" s="2"/>
      <c r="G89" s="2"/>
      <c r="H89" s="2"/>
      <c r="I89" s="2"/>
    </row>
    <row r="90" spans="1:9" x14ac:dyDescent="0.25">
      <c r="A90" s="2" t="s">
        <v>409</v>
      </c>
      <c r="B90" s="2" t="s">
        <v>414</v>
      </c>
      <c r="C90" s="2" t="s">
        <v>415</v>
      </c>
      <c r="D90" s="2" t="s">
        <v>416</v>
      </c>
      <c r="E90" s="2" t="s">
        <v>417</v>
      </c>
      <c r="F90" s="2"/>
      <c r="G90" s="2"/>
      <c r="H90" s="2"/>
      <c r="I90" s="2"/>
    </row>
    <row r="91" spans="1:9" x14ac:dyDescent="0.25">
      <c r="A91" s="2" t="s">
        <v>418</v>
      </c>
      <c r="B91" s="2" t="s">
        <v>419</v>
      </c>
      <c r="C91" s="2" t="s">
        <v>393</v>
      </c>
      <c r="D91" s="2" t="s">
        <v>420</v>
      </c>
      <c r="E91" s="2" t="s">
        <v>421</v>
      </c>
      <c r="F91" s="2"/>
      <c r="G91" s="2"/>
      <c r="H91" s="2"/>
      <c r="I91" s="2"/>
    </row>
    <row r="92" spans="1:9" x14ac:dyDescent="0.25">
      <c r="A92" s="2" t="s">
        <v>418</v>
      </c>
      <c r="B92" s="2" t="s">
        <v>422</v>
      </c>
      <c r="C92" s="2" t="s">
        <v>393</v>
      </c>
      <c r="D92" s="2" t="s">
        <v>423</v>
      </c>
      <c r="E92" s="2" t="s">
        <v>424</v>
      </c>
      <c r="F92" s="2"/>
      <c r="G92" s="2"/>
      <c r="H92" s="2"/>
      <c r="I92" s="2"/>
    </row>
    <row r="93" spans="1:9" x14ac:dyDescent="0.25">
      <c r="A93" s="2" t="s">
        <v>425</v>
      </c>
      <c r="B93" s="2" t="s">
        <v>426</v>
      </c>
      <c r="C93" s="2" t="s">
        <v>427</v>
      </c>
      <c r="D93" s="2" t="s">
        <v>428</v>
      </c>
      <c r="E93" s="2" t="s">
        <v>429</v>
      </c>
      <c r="F93" s="2"/>
      <c r="G93" s="2"/>
      <c r="H93" s="2"/>
      <c r="I93" s="2"/>
    </row>
    <row r="94" spans="1:9" x14ac:dyDescent="0.25">
      <c r="A94" s="2" t="s">
        <v>425</v>
      </c>
      <c r="B94" s="2" t="s">
        <v>430</v>
      </c>
      <c r="C94" s="2" t="s">
        <v>314</v>
      </c>
      <c r="D94" s="2" t="s">
        <v>431</v>
      </c>
      <c r="E94" s="2" t="s">
        <v>432</v>
      </c>
      <c r="F94" s="2"/>
      <c r="G94" s="2"/>
      <c r="H94" s="2"/>
      <c r="I94" s="2"/>
    </row>
    <row r="95" spans="1:9" x14ac:dyDescent="0.25">
      <c r="A95" s="2" t="s">
        <v>433</v>
      </c>
      <c r="B95" s="2" t="s">
        <v>434</v>
      </c>
      <c r="C95" s="2" t="s">
        <v>435</v>
      </c>
      <c r="D95" s="2" t="s">
        <v>436</v>
      </c>
      <c r="E95" s="2" t="s">
        <v>437</v>
      </c>
      <c r="F95" s="2"/>
      <c r="G95" s="2"/>
      <c r="H95" s="2"/>
      <c r="I95" s="2"/>
    </row>
    <row r="96" spans="1:9" x14ac:dyDescent="0.25">
      <c r="A96" s="2" t="s">
        <v>433</v>
      </c>
      <c r="B96" s="2" t="s">
        <v>438</v>
      </c>
      <c r="C96" s="2" t="s">
        <v>435</v>
      </c>
      <c r="D96" s="2" t="s">
        <v>439</v>
      </c>
      <c r="E96" s="2" t="s">
        <v>440</v>
      </c>
      <c r="F96" s="2"/>
      <c r="G96" s="2"/>
      <c r="H96" s="2"/>
      <c r="I96" s="2"/>
    </row>
    <row r="98" spans="1:5" x14ac:dyDescent="0.25">
      <c r="A98" s="16" t="s">
        <v>441</v>
      </c>
      <c r="B98" s="17"/>
      <c r="C98" s="17"/>
      <c r="D98" s="17"/>
      <c r="E98" s="17"/>
    </row>
    <row r="99" spans="1:5" x14ac:dyDescent="0.25">
      <c r="A99" s="10" t="s">
        <v>442</v>
      </c>
      <c r="B99" s="10"/>
      <c r="C99" s="10"/>
      <c r="D99" s="10"/>
      <c r="E99" s="10"/>
    </row>
    <row r="100" spans="1:5" x14ac:dyDescent="0.25">
      <c r="A100" s="2" t="s">
        <v>443</v>
      </c>
      <c r="B100" s="2" t="s">
        <v>444</v>
      </c>
      <c r="C100" s="2" t="s">
        <v>445</v>
      </c>
      <c r="D100" s="2" t="s">
        <v>446</v>
      </c>
      <c r="E100" s="2"/>
    </row>
    <row r="101" spans="1:5" x14ac:dyDescent="0.25">
      <c r="A101" s="2">
        <v>25</v>
      </c>
      <c r="B101" s="2">
        <v>1.03</v>
      </c>
      <c r="C101" s="2">
        <v>1.04</v>
      </c>
      <c r="D101" s="2">
        <v>1.04</v>
      </c>
      <c r="E101" s="2"/>
    </row>
    <row r="102" spans="1:5" x14ac:dyDescent="0.25">
      <c r="A102" s="2">
        <v>30</v>
      </c>
      <c r="B102" s="2">
        <v>1</v>
      </c>
      <c r="C102" s="2">
        <v>1</v>
      </c>
      <c r="D102" s="2">
        <v>1</v>
      </c>
      <c r="E102" s="2"/>
    </row>
    <row r="103" spans="1:5" x14ac:dyDescent="0.25">
      <c r="A103" s="2">
        <v>35</v>
      </c>
      <c r="B103" s="2">
        <v>0.94</v>
      </c>
      <c r="C103" s="2">
        <v>0.96</v>
      </c>
      <c r="D103" s="2">
        <v>0.97</v>
      </c>
      <c r="E103" s="2"/>
    </row>
    <row r="104" spans="1:5" x14ac:dyDescent="0.25">
      <c r="A104" s="2">
        <v>40</v>
      </c>
      <c r="B104" s="2">
        <v>0.87</v>
      </c>
      <c r="C104" s="2">
        <v>0.91</v>
      </c>
      <c r="D104" s="2">
        <v>0.94</v>
      </c>
      <c r="E104" s="2"/>
    </row>
    <row r="105" spans="1:5" x14ac:dyDescent="0.25">
      <c r="A105" s="2">
        <v>45</v>
      </c>
      <c r="B105" s="2">
        <v>0.79</v>
      </c>
      <c r="C105" s="2">
        <v>0.87</v>
      </c>
      <c r="D105" s="2">
        <v>0.92</v>
      </c>
      <c r="E105" s="2"/>
    </row>
    <row r="106" spans="1:5" x14ac:dyDescent="0.25">
      <c r="A106" s="2">
        <v>50</v>
      </c>
      <c r="B106" s="2">
        <v>0.71</v>
      </c>
      <c r="C106" s="2">
        <v>0.82</v>
      </c>
      <c r="D106" s="2">
        <v>0.89</v>
      </c>
      <c r="E106" s="2"/>
    </row>
    <row r="107" spans="1:5" x14ac:dyDescent="0.25">
      <c r="A107" s="2">
        <v>55</v>
      </c>
      <c r="B107" s="2">
        <v>0.61</v>
      </c>
      <c r="C107" s="2">
        <v>0.76</v>
      </c>
      <c r="D107" s="2">
        <v>0.86</v>
      </c>
      <c r="E107" s="2"/>
    </row>
    <row r="108" spans="1:5" x14ac:dyDescent="0.25">
      <c r="A108" s="2">
        <v>60</v>
      </c>
      <c r="B108" s="2">
        <v>0.5</v>
      </c>
      <c r="C108" s="2">
        <v>0.71</v>
      </c>
      <c r="D108" s="2">
        <v>0.84</v>
      </c>
      <c r="E108" s="2"/>
    </row>
    <row r="110" spans="1:5" x14ac:dyDescent="0.25">
      <c r="A110" s="16" t="s">
        <v>447</v>
      </c>
      <c r="B110" s="17"/>
      <c r="C110" s="17"/>
      <c r="D110" s="17"/>
      <c r="E110" s="17"/>
    </row>
    <row r="111" spans="1:5" x14ac:dyDescent="0.25">
      <c r="A111" s="2" t="s">
        <v>448</v>
      </c>
      <c r="B111" s="2" t="s">
        <v>449</v>
      </c>
      <c r="C111" s="2" t="s">
        <v>450</v>
      </c>
      <c r="D111" s="2" t="s">
        <v>451</v>
      </c>
      <c r="E111" s="2"/>
    </row>
    <row r="112" spans="1:5" x14ac:dyDescent="0.25">
      <c r="A112" s="2">
        <v>1</v>
      </c>
      <c r="B112" s="2">
        <v>1</v>
      </c>
      <c r="C112" s="2">
        <v>1</v>
      </c>
      <c r="D112" s="2">
        <v>1</v>
      </c>
      <c r="E112" s="2"/>
    </row>
    <row r="113" spans="1:6" x14ac:dyDescent="0.25">
      <c r="A113" s="2">
        <v>2</v>
      </c>
      <c r="B113" s="2">
        <v>0.8</v>
      </c>
      <c r="C113" s="2">
        <v>0.85</v>
      </c>
      <c r="D113" s="2">
        <v>0.9</v>
      </c>
      <c r="E113" s="2"/>
    </row>
    <row r="114" spans="1:6" x14ac:dyDescent="0.25">
      <c r="A114" s="2">
        <v>3</v>
      </c>
      <c r="B114" s="2">
        <v>0.7</v>
      </c>
      <c r="C114" s="2">
        <v>0.79</v>
      </c>
      <c r="D114" s="2">
        <v>0.85</v>
      </c>
      <c r="E114" s="2"/>
    </row>
    <row r="115" spans="1:6" x14ac:dyDescent="0.25">
      <c r="A115" s="2">
        <v>4</v>
      </c>
      <c r="B115" s="2">
        <v>0.65</v>
      </c>
      <c r="C115" s="2">
        <v>0.75</v>
      </c>
      <c r="D115" s="2">
        <v>0.8</v>
      </c>
      <c r="E115" s="2"/>
    </row>
    <row r="116" spans="1:6" x14ac:dyDescent="0.25">
      <c r="A116" s="2">
        <v>5</v>
      </c>
      <c r="B116" s="2">
        <v>0.6</v>
      </c>
      <c r="C116" s="2">
        <v>0.73</v>
      </c>
      <c r="D116" s="2">
        <v>0.78</v>
      </c>
      <c r="E116" s="2"/>
    </row>
    <row r="117" spans="1:6" x14ac:dyDescent="0.25">
      <c r="A117" s="2">
        <v>6</v>
      </c>
      <c r="B117" s="2">
        <v>0.56999999999999995</v>
      </c>
      <c r="C117" s="2">
        <v>0.72</v>
      </c>
      <c r="D117" s="2">
        <v>0.76</v>
      </c>
      <c r="E117" s="2"/>
    </row>
    <row r="118" spans="1:6" x14ac:dyDescent="0.25">
      <c r="A118" s="2">
        <v>7</v>
      </c>
      <c r="B118" s="2">
        <v>0.54</v>
      </c>
      <c r="C118" s="2">
        <v>0.72</v>
      </c>
      <c r="D118" s="2">
        <v>0.73</v>
      </c>
      <c r="E118" s="2"/>
    </row>
    <row r="119" spans="1:6" x14ac:dyDescent="0.25">
      <c r="A119" s="2">
        <v>8</v>
      </c>
      <c r="B119" s="2">
        <v>0.52</v>
      </c>
      <c r="C119" s="2">
        <v>0.71</v>
      </c>
      <c r="D119" s="2">
        <v>0.71</v>
      </c>
      <c r="E119" s="2"/>
    </row>
    <row r="120" spans="1:6" x14ac:dyDescent="0.25">
      <c r="A120" s="2">
        <v>9</v>
      </c>
      <c r="B120" s="2">
        <v>0.5</v>
      </c>
      <c r="C120" s="2">
        <v>0.7</v>
      </c>
      <c r="D120" s="2">
        <v>0.7</v>
      </c>
      <c r="E120" s="2"/>
    </row>
    <row r="121" spans="1:6" x14ac:dyDescent="0.25">
      <c r="A121" s="2">
        <v>10</v>
      </c>
      <c r="B121" s="2">
        <v>0.48</v>
      </c>
      <c r="C121" s="2">
        <v>0.7</v>
      </c>
      <c r="D121" s="2">
        <v>0.7</v>
      </c>
      <c r="E121" s="2"/>
    </row>
    <row r="122" spans="1:6" x14ac:dyDescent="0.25">
      <c r="A122" s="15" t="s">
        <v>452</v>
      </c>
      <c r="B122" s="2">
        <v>0.45</v>
      </c>
      <c r="C122" s="2">
        <v>0.68</v>
      </c>
      <c r="D122" s="2">
        <v>0.68</v>
      </c>
      <c r="E122" s="2"/>
    </row>
    <row r="123" spans="1:6" x14ac:dyDescent="0.25">
      <c r="A123" s="15" t="s">
        <v>453</v>
      </c>
      <c r="B123" s="2">
        <v>0.41</v>
      </c>
      <c r="C123" s="2">
        <v>0.66</v>
      </c>
      <c r="D123" s="2">
        <v>0.66</v>
      </c>
      <c r="E123" s="2"/>
    </row>
    <row r="125" spans="1:6" x14ac:dyDescent="0.25">
      <c r="A125" s="16" t="s">
        <v>454</v>
      </c>
      <c r="B125" s="17"/>
      <c r="C125" s="17"/>
      <c r="D125" s="17"/>
      <c r="E125" s="17"/>
      <c r="F125" s="17"/>
    </row>
    <row r="126" spans="1:6" x14ac:dyDescent="0.25">
      <c r="A126" s="2" t="s">
        <v>455</v>
      </c>
      <c r="B126" s="2" t="s">
        <v>45</v>
      </c>
      <c r="C126" s="2" t="s">
        <v>456</v>
      </c>
      <c r="D126" s="2" t="s">
        <v>457</v>
      </c>
      <c r="E126" s="2" t="s">
        <v>458</v>
      </c>
      <c r="F126" s="2"/>
    </row>
    <row r="127" spans="1:6" x14ac:dyDescent="0.25">
      <c r="A127" s="2" t="s">
        <v>47</v>
      </c>
      <c r="B127" s="2">
        <v>0.9</v>
      </c>
      <c r="C127" s="2">
        <v>0.95</v>
      </c>
      <c r="D127" s="2" t="s">
        <v>459</v>
      </c>
      <c r="E127" s="2" t="s">
        <v>378</v>
      </c>
      <c r="F127" s="2"/>
    </row>
    <row r="128" spans="1:6" x14ac:dyDescent="0.25">
      <c r="A128" s="2" t="s">
        <v>48</v>
      </c>
      <c r="B128" s="2">
        <v>1</v>
      </c>
      <c r="C128" s="2">
        <v>0.95</v>
      </c>
      <c r="D128" s="2" t="s">
        <v>460</v>
      </c>
      <c r="E128" s="2" t="s">
        <v>378</v>
      </c>
      <c r="F128" s="2"/>
    </row>
    <row r="129" spans="1:7" x14ac:dyDescent="0.25">
      <c r="A129" s="2" t="s">
        <v>461</v>
      </c>
      <c r="B129" s="2">
        <v>1</v>
      </c>
      <c r="C129" s="2">
        <v>0.9</v>
      </c>
      <c r="D129" s="2" t="s">
        <v>462</v>
      </c>
      <c r="E129" s="2" t="s">
        <v>463</v>
      </c>
      <c r="F129" s="2"/>
    </row>
    <row r="130" spans="1:7" x14ac:dyDescent="0.25">
      <c r="A130" s="2" t="s">
        <v>464</v>
      </c>
      <c r="B130" s="2">
        <v>0.4</v>
      </c>
      <c r="C130" s="2">
        <v>0.85</v>
      </c>
      <c r="D130" s="2" t="s">
        <v>465</v>
      </c>
      <c r="E130" s="2" t="s">
        <v>378</v>
      </c>
      <c r="F130" s="2"/>
    </row>
    <row r="131" spans="1:7" x14ac:dyDescent="0.25">
      <c r="A131" s="2" t="s">
        <v>466</v>
      </c>
      <c r="B131" s="2">
        <v>0.6</v>
      </c>
      <c r="C131" s="2">
        <v>0.85</v>
      </c>
      <c r="D131" s="2" t="s">
        <v>467</v>
      </c>
      <c r="E131" s="2" t="s">
        <v>378</v>
      </c>
      <c r="F131" s="2"/>
    </row>
    <row r="132" spans="1:7" x14ac:dyDescent="0.25">
      <c r="A132" s="2" t="s">
        <v>468</v>
      </c>
      <c r="B132" s="2">
        <v>0.75</v>
      </c>
      <c r="C132" s="2">
        <v>0.85</v>
      </c>
      <c r="D132" s="2" t="s">
        <v>469</v>
      </c>
      <c r="E132" s="2" t="s">
        <v>463</v>
      </c>
      <c r="F132" s="2"/>
    </row>
    <row r="133" spans="1:7" x14ac:dyDescent="0.25">
      <c r="A133" s="2" t="s">
        <v>470</v>
      </c>
      <c r="B133" s="2">
        <v>1</v>
      </c>
      <c r="C133" s="2">
        <v>0.85</v>
      </c>
      <c r="D133" s="2" t="s">
        <v>471</v>
      </c>
      <c r="E133" s="2" t="s">
        <v>472</v>
      </c>
      <c r="F133" s="2"/>
    </row>
    <row r="134" spans="1:7" x14ac:dyDescent="0.25">
      <c r="A134" s="2" t="s">
        <v>473</v>
      </c>
      <c r="B134" s="2">
        <v>1</v>
      </c>
      <c r="C134" s="2">
        <v>0.85</v>
      </c>
      <c r="D134" s="2" t="s">
        <v>474</v>
      </c>
      <c r="E134" s="2" t="s">
        <v>463</v>
      </c>
      <c r="F134" s="2"/>
    </row>
    <row r="135" spans="1:7" x14ac:dyDescent="0.25">
      <c r="A135" s="2" t="s">
        <v>475</v>
      </c>
      <c r="B135" s="2">
        <v>1</v>
      </c>
      <c r="C135" s="2">
        <v>0.8</v>
      </c>
      <c r="D135" s="2" t="s">
        <v>476</v>
      </c>
      <c r="E135" s="2" t="s">
        <v>477</v>
      </c>
      <c r="F135" s="2"/>
    </row>
    <row r="136" spans="1:7" x14ac:dyDescent="0.25">
      <c r="A136" s="2" t="s">
        <v>478</v>
      </c>
      <c r="B136" s="2">
        <v>0.75</v>
      </c>
      <c r="C136" s="2">
        <v>0.8</v>
      </c>
      <c r="D136" s="2" t="s">
        <v>479</v>
      </c>
      <c r="E136" s="2" t="s">
        <v>477</v>
      </c>
      <c r="F136" s="2"/>
    </row>
    <row r="137" spans="1:7" x14ac:dyDescent="0.25">
      <c r="A137" s="2" t="s">
        <v>53</v>
      </c>
      <c r="B137" s="2">
        <v>1</v>
      </c>
      <c r="C137" s="2">
        <v>1</v>
      </c>
      <c r="D137" s="2" t="s">
        <v>480</v>
      </c>
      <c r="E137" s="2" t="s">
        <v>463</v>
      </c>
      <c r="F137" s="2"/>
    </row>
    <row r="138" spans="1:7" x14ac:dyDescent="0.25">
      <c r="A138" s="2" t="s">
        <v>481</v>
      </c>
      <c r="B138" s="2">
        <v>1</v>
      </c>
      <c r="C138" s="2">
        <v>0.7</v>
      </c>
      <c r="D138" s="2" t="s">
        <v>482</v>
      </c>
      <c r="E138" s="2" t="s">
        <v>483</v>
      </c>
      <c r="F138" s="2"/>
    </row>
    <row r="139" spans="1:7" x14ac:dyDescent="0.25">
      <c r="A139" s="2" t="s">
        <v>56</v>
      </c>
      <c r="B139" s="2">
        <v>0.8</v>
      </c>
      <c r="C139" s="2">
        <v>0.9</v>
      </c>
      <c r="D139" s="2" t="s">
        <v>484</v>
      </c>
      <c r="E139" s="2" t="s">
        <v>378</v>
      </c>
      <c r="F139" s="2"/>
    </row>
    <row r="140" spans="1:7" x14ac:dyDescent="0.25">
      <c r="A140" s="2" t="s">
        <v>485</v>
      </c>
      <c r="B140" s="2">
        <v>1</v>
      </c>
      <c r="C140" s="2">
        <v>0.95</v>
      </c>
      <c r="D140" s="2" t="s">
        <v>486</v>
      </c>
      <c r="E140" s="2" t="s">
        <v>487</v>
      </c>
      <c r="F140" s="2"/>
    </row>
    <row r="141" spans="1:7" x14ac:dyDescent="0.25">
      <c r="A141" s="2" t="s">
        <v>488</v>
      </c>
      <c r="B141" s="2">
        <v>0.8</v>
      </c>
      <c r="C141" s="2">
        <v>0.85</v>
      </c>
      <c r="D141" s="2" t="s">
        <v>489</v>
      </c>
      <c r="E141" s="2" t="s">
        <v>490</v>
      </c>
      <c r="F141" s="2"/>
    </row>
    <row r="142" spans="1:7" x14ac:dyDescent="0.25">
      <c r="A142" s="16" t="s">
        <v>491</v>
      </c>
      <c r="B142" s="17"/>
      <c r="C142" s="17"/>
      <c r="D142" s="17"/>
      <c r="E142" s="17"/>
      <c r="F142" s="17"/>
      <c r="G142" s="17"/>
    </row>
    <row r="143" spans="1:7" x14ac:dyDescent="0.25">
      <c r="A143" s="2" t="s">
        <v>492</v>
      </c>
      <c r="B143" s="2" t="s">
        <v>493</v>
      </c>
      <c r="C143" s="2" t="s">
        <v>494</v>
      </c>
      <c r="D143" s="2" t="s">
        <v>495</v>
      </c>
      <c r="E143" s="2" t="s">
        <v>496</v>
      </c>
      <c r="F143" s="2" t="s">
        <v>497</v>
      </c>
      <c r="G143" s="2"/>
    </row>
    <row r="144" spans="1:7" x14ac:dyDescent="0.25">
      <c r="A144" s="2">
        <v>6</v>
      </c>
      <c r="B144" s="2" t="s">
        <v>498</v>
      </c>
      <c r="C144" s="2" t="s">
        <v>499</v>
      </c>
      <c r="D144" s="2" t="s">
        <v>500</v>
      </c>
      <c r="E144" s="2" t="s">
        <v>501</v>
      </c>
      <c r="F144" s="2" t="s">
        <v>502</v>
      </c>
      <c r="G144" s="2"/>
    </row>
    <row r="145" spans="1:7" x14ac:dyDescent="0.25">
      <c r="A145" s="2">
        <v>10</v>
      </c>
      <c r="B145" s="2" t="s">
        <v>498</v>
      </c>
      <c r="C145" s="2" t="s">
        <v>499</v>
      </c>
      <c r="D145" s="2" t="s">
        <v>500</v>
      </c>
      <c r="E145" s="2" t="s">
        <v>467</v>
      </c>
      <c r="F145" s="2" t="s">
        <v>502</v>
      </c>
      <c r="G145" s="2"/>
    </row>
    <row r="146" spans="1:7" x14ac:dyDescent="0.25">
      <c r="A146" s="2">
        <v>16</v>
      </c>
      <c r="B146" s="2" t="s">
        <v>498</v>
      </c>
      <c r="C146" s="2" t="s">
        <v>503</v>
      </c>
      <c r="D146" s="2" t="s">
        <v>500</v>
      </c>
      <c r="E146" s="2" t="s">
        <v>504</v>
      </c>
      <c r="F146" s="2" t="s">
        <v>502</v>
      </c>
      <c r="G146" s="2"/>
    </row>
    <row r="147" spans="1:7" x14ac:dyDescent="0.25">
      <c r="A147" s="2">
        <v>20</v>
      </c>
      <c r="B147" s="2" t="s">
        <v>498</v>
      </c>
      <c r="C147" s="2" t="s">
        <v>505</v>
      </c>
      <c r="D147" s="2" t="s">
        <v>500</v>
      </c>
      <c r="E147" s="2" t="s">
        <v>506</v>
      </c>
      <c r="F147" s="2" t="s">
        <v>502</v>
      </c>
      <c r="G147" s="2"/>
    </row>
    <row r="148" spans="1:7" x14ac:dyDescent="0.25">
      <c r="A148" s="2">
        <v>25</v>
      </c>
      <c r="B148" s="2" t="s">
        <v>498</v>
      </c>
      <c r="C148" s="2" t="s">
        <v>505</v>
      </c>
      <c r="D148" s="2" t="s">
        <v>500</v>
      </c>
      <c r="E148" s="2" t="s">
        <v>144</v>
      </c>
      <c r="F148" s="2" t="s">
        <v>502</v>
      </c>
      <c r="G148" s="2"/>
    </row>
    <row r="149" spans="1:7" x14ac:dyDescent="0.25">
      <c r="A149" s="2">
        <v>32</v>
      </c>
      <c r="B149" s="2" t="s">
        <v>498</v>
      </c>
      <c r="C149" s="2" t="s">
        <v>505</v>
      </c>
      <c r="D149" s="2" t="s">
        <v>507</v>
      </c>
      <c r="E149" s="2" t="s">
        <v>142</v>
      </c>
      <c r="F149" s="2" t="s">
        <v>508</v>
      </c>
      <c r="G149" s="2"/>
    </row>
    <row r="150" spans="1:7" x14ac:dyDescent="0.25">
      <c r="A150" s="2">
        <v>40</v>
      </c>
      <c r="B150" s="2" t="s">
        <v>498</v>
      </c>
      <c r="C150" s="2" t="s">
        <v>505</v>
      </c>
      <c r="D150" s="2" t="s">
        <v>507</v>
      </c>
      <c r="E150" s="2" t="s">
        <v>509</v>
      </c>
      <c r="F150" s="2" t="s">
        <v>510</v>
      </c>
      <c r="G150" s="2"/>
    </row>
    <row r="151" spans="1:7" x14ac:dyDescent="0.25">
      <c r="A151" s="2">
        <v>50</v>
      </c>
      <c r="B151" s="2" t="s">
        <v>498</v>
      </c>
      <c r="C151" s="2" t="s">
        <v>505</v>
      </c>
      <c r="D151" s="2" t="s">
        <v>511</v>
      </c>
      <c r="E151" s="2" t="s">
        <v>512</v>
      </c>
      <c r="F151" s="2" t="s">
        <v>510</v>
      </c>
      <c r="G151" s="2"/>
    </row>
    <row r="152" spans="1:7" x14ac:dyDescent="0.25">
      <c r="A152" s="2">
        <v>63</v>
      </c>
      <c r="B152" s="2" t="s">
        <v>498</v>
      </c>
      <c r="C152" s="2" t="s">
        <v>505</v>
      </c>
      <c r="D152" s="2" t="s">
        <v>511</v>
      </c>
      <c r="E152" s="2" t="s">
        <v>513</v>
      </c>
      <c r="F152" s="2" t="s">
        <v>510</v>
      </c>
      <c r="G152" s="2"/>
    </row>
    <row r="153" spans="1:7" x14ac:dyDescent="0.25">
      <c r="A153" s="2">
        <v>80</v>
      </c>
      <c r="B153" s="2" t="s">
        <v>514</v>
      </c>
      <c r="C153" s="2" t="s">
        <v>505</v>
      </c>
      <c r="D153" s="2" t="s">
        <v>515</v>
      </c>
      <c r="E153" s="2" t="s">
        <v>150</v>
      </c>
      <c r="F153" s="2" t="s">
        <v>510</v>
      </c>
      <c r="G153" s="2"/>
    </row>
    <row r="154" spans="1:7" x14ac:dyDescent="0.25">
      <c r="A154" s="2">
        <v>100</v>
      </c>
      <c r="B154" s="2" t="s">
        <v>514</v>
      </c>
      <c r="C154" s="2" t="s">
        <v>505</v>
      </c>
      <c r="D154" s="2" t="s">
        <v>515</v>
      </c>
      <c r="E154" s="2" t="s">
        <v>516</v>
      </c>
      <c r="F154" s="2" t="s">
        <v>510</v>
      </c>
      <c r="G154" s="2"/>
    </row>
    <row r="155" spans="1:7" x14ac:dyDescent="0.25">
      <c r="A155" s="2">
        <v>125</v>
      </c>
      <c r="B155" s="2" t="s">
        <v>517</v>
      </c>
      <c r="C155" s="2" t="s">
        <v>518</v>
      </c>
      <c r="D155" s="2" t="s">
        <v>519</v>
      </c>
      <c r="E155" s="2" t="s">
        <v>146</v>
      </c>
      <c r="F155" s="2" t="s">
        <v>510</v>
      </c>
      <c r="G155" s="2"/>
    </row>
    <row r="156" spans="1:7" x14ac:dyDescent="0.25">
      <c r="A156" s="2">
        <v>160</v>
      </c>
      <c r="B156" s="2" t="s">
        <v>517</v>
      </c>
      <c r="C156" s="2" t="s">
        <v>518</v>
      </c>
      <c r="D156" s="2" t="s">
        <v>519</v>
      </c>
      <c r="E156" s="2" t="s">
        <v>154</v>
      </c>
      <c r="F156" s="2" t="s">
        <v>510</v>
      </c>
      <c r="G156" s="2"/>
    </row>
    <row r="157" spans="1:7" x14ac:dyDescent="0.25">
      <c r="A157" s="2">
        <v>200</v>
      </c>
      <c r="B157" s="2" t="s">
        <v>517</v>
      </c>
      <c r="C157" s="2" t="s">
        <v>518</v>
      </c>
      <c r="D157" s="2" t="s">
        <v>520</v>
      </c>
      <c r="E157" s="2" t="s">
        <v>156</v>
      </c>
      <c r="F157" s="2" t="s">
        <v>510</v>
      </c>
      <c r="G157" s="2"/>
    </row>
    <row r="158" spans="1:7" x14ac:dyDescent="0.25">
      <c r="A158" s="2">
        <v>250</v>
      </c>
      <c r="B158" s="2" t="s">
        <v>517</v>
      </c>
      <c r="C158" s="2" t="s">
        <v>518</v>
      </c>
      <c r="D158" s="2" t="s">
        <v>520</v>
      </c>
      <c r="E158" s="2" t="s">
        <v>521</v>
      </c>
      <c r="F158" s="2" t="s">
        <v>510</v>
      </c>
      <c r="G158" s="2"/>
    </row>
    <row r="159" spans="1:7" x14ac:dyDescent="0.25">
      <c r="A159" s="2">
        <v>315</v>
      </c>
      <c r="B159" s="2" t="s">
        <v>517</v>
      </c>
      <c r="C159" s="2" t="s">
        <v>518</v>
      </c>
      <c r="D159" s="2" t="s">
        <v>522</v>
      </c>
      <c r="E159" s="2" t="s">
        <v>160</v>
      </c>
      <c r="F159" s="2" t="s">
        <v>510</v>
      </c>
      <c r="G159" s="2"/>
    </row>
    <row r="160" spans="1:7" x14ac:dyDescent="0.25">
      <c r="A160" s="2">
        <v>400</v>
      </c>
      <c r="B160" s="2" t="s">
        <v>517</v>
      </c>
      <c r="C160" s="2" t="s">
        <v>518</v>
      </c>
      <c r="D160" s="2" t="s">
        <v>522</v>
      </c>
      <c r="E160" s="2" t="s">
        <v>523</v>
      </c>
      <c r="F160" s="2" t="s">
        <v>510</v>
      </c>
      <c r="G160" s="2"/>
    </row>
    <row r="161" spans="1:7" x14ac:dyDescent="0.25">
      <c r="A161" s="2">
        <v>630</v>
      </c>
      <c r="B161" s="2" t="s">
        <v>517</v>
      </c>
      <c r="C161" s="2" t="s">
        <v>524</v>
      </c>
      <c r="D161" s="2" t="s">
        <v>522</v>
      </c>
      <c r="E161" s="2" t="s">
        <v>525</v>
      </c>
      <c r="F161" s="2" t="s">
        <v>510</v>
      </c>
      <c r="G161" s="2"/>
    </row>
    <row r="162" spans="1:7" x14ac:dyDescent="0.25">
      <c r="A162" s="2">
        <v>800</v>
      </c>
      <c r="B162" s="2" t="s">
        <v>526</v>
      </c>
      <c r="C162" s="2" t="s">
        <v>524</v>
      </c>
      <c r="D162" s="2" t="s">
        <v>527</v>
      </c>
      <c r="E162" s="2" t="s">
        <v>162</v>
      </c>
      <c r="F162" s="2" t="s">
        <v>510</v>
      </c>
      <c r="G162" s="2"/>
    </row>
    <row r="163" spans="1:7" x14ac:dyDescent="0.25">
      <c r="A163" s="2">
        <v>1000</v>
      </c>
      <c r="B163" s="2" t="s">
        <v>526</v>
      </c>
      <c r="C163" s="2" t="s">
        <v>524</v>
      </c>
      <c r="D163" s="2" t="s">
        <v>527</v>
      </c>
      <c r="E163" s="2" t="s">
        <v>164</v>
      </c>
      <c r="F163" s="2" t="s">
        <v>510</v>
      </c>
      <c r="G163" s="2"/>
    </row>
    <row r="164" spans="1:7" x14ac:dyDescent="0.25">
      <c r="A164" s="2">
        <v>1250</v>
      </c>
      <c r="B164" s="2" t="s">
        <v>526</v>
      </c>
      <c r="C164" s="2" t="s">
        <v>524</v>
      </c>
      <c r="D164" s="2" t="s">
        <v>528</v>
      </c>
      <c r="E164" s="2" t="s">
        <v>166</v>
      </c>
      <c r="F164" s="2" t="s">
        <v>510</v>
      </c>
      <c r="G164" s="2"/>
    </row>
    <row r="165" spans="1:7" x14ac:dyDescent="0.25">
      <c r="A165" s="2">
        <v>1600</v>
      </c>
      <c r="B165" s="2" t="s">
        <v>526</v>
      </c>
      <c r="C165" s="2" t="s">
        <v>524</v>
      </c>
      <c r="D165" s="2" t="s">
        <v>528</v>
      </c>
      <c r="E165" s="2" t="s">
        <v>529</v>
      </c>
      <c r="F165" s="2" t="s">
        <v>510</v>
      </c>
      <c r="G165" s="2"/>
    </row>
    <row r="166" spans="1:7" x14ac:dyDescent="0.25">
      <c r="A166" s="2">
        <v>2000</v>
      </c>
      <c r="B166" s="2" t="s">
        <v>526</v>
      </c>
      <c r="C166" s="2" t="s">
        <v>524</v>
      </c>
      <c r="D166" s="2" t="s">
        <v>530</v>
      </c>
      <c r="E166" s="2" t="s">
        <v>531</v>
      </c>
      <c r="F166" s="2" t="s">
        <v>510</v>
      </c>
      <c r="G166" s="2"/>
    </row>
    <row r="167" spans="1:7" x14ac:dyDescent="0.25">
      <c r="A167" s="2" t="s">
        <v>532</v>
      </c>
      <c r="B167" s="2"/>
      <c r="C167" s="2"/>
      <c r="D167" s="2"/>
      <c r="E167" s="2"/>
      <c r="F167" s="2"/>
      <c r="G167" s="2"/>
    </row>
    <row r="168" spans="1:7" x14ac:dyDescent="0.25">
      <c r="A168" s="2" t="s">
        <v>533</v>
      </c>
      <c r="B168" s="2"/>
      <c r="C168" s="2"/>
      <c r="D168" s="2"/>
      <c r="E168" s="2"/>
      <c r="F168" s="2"/>
      <c r="G168" s="2"/>
    </row>
    <row r="169" spans="1:7" x14ac:dyDescent="0.25">
      <c r="A169" s="2" t="s">
        <v>534</v>
      </c>
      <c r="B169" s="2"/>
      <c r="C169" s="2"/>
      <c r="D169" s="2"/>
      <c r="E169" s="2"/>
      <c r="F169" s="2"/>
      <c r="G169" s="2"/>
    </row>
    <row r="170" spans="1:7" x14ac:dyDescent="0.25">
      <c r="A170" s="2" t="s">
        <v>535</v>
      </c>
      <c r="B170" s="2"/>
      <c r="C170" s="2"/>
      <c r="D170" s="2"/>
      <c r="E170" s="2"/>
      <c r="F170" s="2"/>
      <c r="G170" s="2"/>
    </row>
    <row r="172" spans="1:7" x14ac:dyDescent="0.25">
      <c r="A172" s="16" t="s">
        <v>536</v>
      </c>
      <c r="B172" s="17"/>
      <c r="C172" s="17"/>
      <c r="D172" s="17"/>
      <c r="E172" s="17"/>
      <c r="F172" s="17"/>
    </row>
    <row r="173" spans="1:7" x14ac:dyDescent="0.25">
      <c r="A173" s="2" t="s">
        <v>537</v>
      </c>
      <c r="B173" s="2" t="s">
        <v>538</v>
      </c>
      <c r="C173" s="2" t="s">
        <v>539</v>
      </c>
      <c r="D173" s="2" t="s">
        <v>540</v>
      </c>
      <c r="E173" s="2" t="s">
        <v>130</v>
      </c>
      <c r="F173" s="2"/>
    </row>
    <row r="174" spans="1:7" x14ac:dyDescent="0.25">
      <c r="A174" s="2" t="s">
        <v>541</v>
      </c>
      <c r="B174" s="2" t="s">
        <v>542</v>
      </c>
      <c r="C174" s="2" t="s">
        <v>543</v>
      </c>
      <c r="D174" s="2" t="s">
        <v>378</v>
      </c>
      <c r="E174" s="2" t="s">
        <v>544</v>
      </c>
      <c r="F174" s="2"/>
    </row>
    <row r="175" spans="1:7" x14ac:dyDescent="0.25">
      <c r="A175" s="2" t="s">
        <v>545</v>
      </c>
      <c r="B175" s="2" t="s">
        <v>546</v>
      </c>
      <c r="C175" s="2" t="s">
        <v>543</v>
      </c>
      <c r="D175" s="2" t="s">
        <v>378</v>
      </c>
      <c r="E175" s="2" t="s">
        <v>547</v>
      </c>
      <c r="F175" s="2"/>
    </row>
    <row r="176" spans="1:7" x14ac:dyDescent="0.25">
      <c r="A176" s="2" t="s">
        <v>548</v>
      </c>
      <c r="B176" s="2" t="s">
        <v>546</v>
      </c>
      <c r="C176" s="2" t="s">
        <v>543</v>
      </c>
      <c r="D176" s="2" t="s">
        <v>463</v>
      </c>
      <c r="E176" s="2" t="s">
        <v>549</v>
      </c>
      <c r="F176" s="2"/>
    </row>
    <row r="177" spans="1:7" x14ac:dyDescent="0.25">
      <c r="A177" s="2" t="s">
        <v>550</v>
      </c>
      <c r="B177" s="2" t="s">
        <v>546</v>
      </c>
      <c r="C177" s="2" t="s">
        <v>543</v>
      </c>
      <c r="D177" s="2" t="s">
        <v>463</v>
      </c>
      <c r="E177" s="2" t="s">
        <v>551</v>
      </c>
      <c r="F177" s="2"/>
    </row>
    <row r="178" spans="1:7" x14ac:dyDescent="0.25">
      <c r="A178" s="2" t="s">
        <v>144</v>
      </c>
      <c r="B178" s="2" t="s">
        <v>552</v>
      </c>
      <c r="C178" s="2" t="s">
        <v>553</v>
      </c>
      <c r="D178" s="2" t="s">
        <v>554</v>
      </c>
      <c r="E178" s="2" t="s">
        <v>555</v>
      </c>
      <c r="F178" s="2"/>
    </row>
    <row r="179" spans="1:7" x14ac:dyDescent="0.25">
      <c r="A179" s="2" t="s">
        <v>556</v>
      </c>
      <c r="B179" s="2" t="s">
        <v>557</v>
      </c>
      <c r="C179" s="2" t="s">
        <v>543</v>
      </c>
      <c r="D179" s="2" t="s">
        <v>463</v>
      </c>
      <c r="E179" s="2" t="s">
        <v>558</v>
      </c>
      <c r="F179" s="2"/>
    </row>
    <row r="180" spans="1:7" x14ac:dyDescent="0.25">
      <c r="A180" s="2" t="s">
        <v>559</v>
      </c>
      <c r="B180" s="2"/>
      <c r="C180" s="2"/>
      <c r="D180" s="2"/>
      <c r="E180" s="2"/>
      <c r="F180" s="2"/>
    </row>
    <row r="181" spans="1:7" x14ac:dyDescent="0.25">
      <c r="A181" s="2" t="s">
        <v>560</v>
      </c>
      <c r="B181" s="2"/>
      <c r="C181" s="2"/>
      <c r="D181" s="2"/>
      <c r="E181" s="2"/>
      <c r="F181" s="2"/>
    </row>
    <row r="182" spans="1:7" x14ac:dyDescent="0.25">
      <c r="A182" s="2" t="s">
        <v>561</v>
      </c>
      <c r="B182" s="2"/>
      <c r="C182" s="2"/>
      <c r="D182" s="2"/>
      <c r="E182" s="2"/>
      <c r="F182" s="2"/>
    </row>
    <row r="183" spans="1:7" x14ac:dyDescent="0.25">
      <c r="A183" s="2" t="s">
        <v>562</v>
      </c>
      <c r="B183" s="2"/>
      <c r="C183" s="2"/>
      <c r="D183" s="2"/>
      <c r="E183" s="2"/>
      <c r="F183" s="2"/>
    </row>
    <row r="184" spans="1:7" x14ac:dyDescent="0.25">
      <c r="A184" s="2" t="s">
        <v>563</v>
      </c>
      <c r="B184" s="2"/>
      <c r="C184" s="2"/>
      <c r="D184" s="2"/>
      <c r="E184" s="2"/>
      <c r="F184" s="2"/>
    </row>
    <row r="186" spans="1:7" x14ac:dyDescent="0.25">
      <c r="A186" s="16" t="s">
        <v>564</v>
      </c>
      <c r="B186" s="17"/>
      <c r="C186" s="17"/>
      <c r="D186" s="17"/>
      <c r="E186" s="17"/>
      <c r="F186" s="17"/>
      <c r="G186" s="17"/>
    </row>
    <row r="187" spans="1:7" x14ac:dyDescent="0.25">
      <c r="A187" s="2" t="s">
        <v>565</v>
      </c>
      <c r="B187" s="2" t="s">
        <v>566</v>
      </c>
      <c r="C187" s="2" t="s">
        <v>567</v>
      </c>
      <c r="D187" s="2" t="s">
        <v>457</v>
      </c>
      <c r="E187" s="2" t="s">
        <v>568</v>
      </c>
      <c r="F187" s="2" t="s">
        <v>540</v>
      </c>
      <c r="G187" s="2"/>
    </row>
    <row r="188" spans="1:7" x14ac:dyDescent="0.25">
      <c r="A188" s="2" t="s">
        <v>569</v>
      </c>
      <c r="B188" s="2" t="s">
        <v>570</v>
      </c>
      <c r="C188" s="2" t="s">
        <v>571</v>
      </c>
      <c r="D188" s="2" t="s">
        <v>572</v>
      </c>
      <c r="E188" s="2" t="s">
        <v>573</v>
      </c>
      <c r="F188" s="2" t="s">
        <v>574</v>
      </c>
      <c r="G188" s="2"/>
    </row>
    <row r="189" spans="1:7" x14ac:dyDescent="0.25">
      <c r="A189" s="2" t="s">
        <v>575</v>
      </c>
      <c r="B189" s="2" t="s">
        <v>576</v>
      </c>
      <c r="C189" s="2" t="s">
        <v>577</v>
      </c>
      <c r="D189" s="2" t="s">
        <v>578</v>
      </c>
      <c r="E189" s="2" t="s">
        <v>579</v>
      </c>
      <c r="F189" s="2" t="s">
        <v>580</v>
      </c>
      <c r="G189" s="2"/>
    </row>
    <row r="190" spans="1:7" x14ac:dyDescent="0.25">
      <c r="A190" s="2" t="s">
        <v>581</v>
      </c>
      <c r="B190" s="2" t="s">
        <v>582</v>
      </c>
      <c r="C190" s="2" t="s">
        <v>583</v>
      </c>
      <c r="D190" s="2" t="s">
        <v>584</v>
      </c>
      <c r="E190" s="2" t="s">
        <v>585</v>
      </c>
      <c r="F190" s="2" t="s">
        <v>586</v>
      </c>
      <c r="G190" s="2"/>
    </row>
    <row r="191" spans="1:7" x14ac:dyDescent="0.25">
      <c r="A191" s="2" t="s">
        <v>587</v>
      </c>
      <c r="B191" s="2" t="s">
        <v>588</v>
      </c>
      <c r="C191" s="2" t="s">
        <v>589</v>
      </c>
      <c r="D191" s="2" t="s">
        <v>590</v>
      </c>
      <c r="E191" s="2" t="s">
        <v>573</v>
      </c>
      <c r="F191" s="2" t="s">
        <v>580</v>
      </c>
      <c r="G191" s="2"/>
    </row>
    <row r="192" spans="1:7" x14ac:dyDescent="0.25">
      <c r="A192" s="2" t="s">
        <v>591</v>
      </c>
      <c r="B192" s="2" t="s">
        <v>592</v>
      </c>
      <c r="C192" s="2" t="s">
        <v>593</v>
      </c>
      <c r="D192" s="2" t="s">
        <v>594</v>
      </c>
      <c r="E192" s="2" t="s">
        <v>595</v>
      </c>
      <c r="F192" s="2" t="s">
        <v>596</v>
      </c>
      <c r="G192" s="2"/>
    </row>
    <row r="193" spans="1:7" x14ac:dyDescent="0.25">
      <c r="A193" s="2" t="s">
        <v>597</v>
      </c>
      <c r="B193" s="2" t="s">
        <v>598</v>
      </c>
      <c r="C193" s="2" t="s">
        <v>599</v>
      </c>
      <c r="D193" s="2" t="s">
        <v>600</v>
      </c>
      <c r="E193" s="2" t="s">
        <v>579</v>
      </c>
      <c r="F193" s="2" t="s">
        <v>601</v>
      </c>
      <c r="G193" s="2"/>
    </row>
    <row r="194" spans="1:7" x14ac:dyDescent="0.25">
      <c r="A194" s="2" t="s">
        <v>602</v>
      </c>
      <c r="B194" s="2" t="s">
        <v>603</v>
      </c>
      <c r="C194" s="2" t="s">
        <v>604</v>
      </c>
      <c r="D194" s="2" t="s">
        <v>605</v>
      </c>
      <c r="E194" s="2" t="s">
        <v>585</v>
      </c>
      <c r="F194" s="2" t="s">
        <v>606</v>
      </c>
      <c r="G194" s="2"/>
    </row>
    <row r="195" spans="1:7" x14ac:dyDescent="0.25">
      <c r="A195" s="2" t="s">
        <v>607</v>
      </c>
      <c r="B195" s="2" t="s">
        <v>608</v>
      </c>
      <c r="C195" s="2" t="s">
        <v>609</v>
      </c>
      <c r="D195" s="2" t="s">
        <v>610</v>
      </c>
      <c r="E195" s="2" t="s">
        <v>573</v>
      </c>
      <c r="F195" s="2" t="s">
        <v>611</v>
      </c>
      <c r="G195" s="2"/>
    </row>
    <row r="196" spans="1:7" x14ac:dyDescent="0.25">
      <c r="A196" s="2" t="s">
        <v>612</v>
      </c>
      <c r="B196" s="2" t="s">
        <v>613</v>
      </c>
      <c r="C196" s="2" t="s">
        <v>614</v>
      </c>
      <c r="D196" s="2" t="s">
        <v>615</v>
      </c>
      <c r="E196" s="2" t="s">
        <v>616</v>
      </c>
      <c r="F196" s="2" t="s">
        <v>617</v>
      </c>
      <c r="G196" s="2"/>
    </row>
    <row r="198" spans="1:7" x14ac:dyDescent="0.25">
      <c r="A198" s="19" t="s">
        <v>618</v>
      </c>
      <c r="B198" s="17"/>
      <c r="C198" s="17"/>
      <c r="D198" s="17"/>
      <c r="E198" s="17"/>
    </row>
    <row r="199" spans="1:7" x14ac:dyDescent="0.25">
      <c r="A199" s="2" t="s">
        <v>619</v>
      </c>
      <c r="B199" s="2" t="s">
        <v>620</v>
      </c>
      <c r="C199" s="2" t="s">
        <v>306</v>
      </c>
      <c r="D199" s="2" t="s">
        <v>130</v>
      </c>
      <c r="E199" s="2"/>
    </row>
    <row r="200" spans="1:7" x14ac:dyDescent="0.25">
      <c r="A200" s="2" t="s">
        <v>621</v>
      </c>
      <c r="B200" s="2" t="s">
        <v>622</v>
      </c>
      <c r="C200" s="2" t="s">
        <v>623</v>
      </c>
      <c r="D200" s="2" t="s">
        <v>624</v>
      </c>
      <c r="E200" s="2"/>
    </row>
    <row r="201" spans="1:7" x14ac:dyDescent="0.25">
      <c r="A201" s="2" t="s">
        <v>625</v>
      </c>
      <c r="B201" s="2" t="s">
        <v>626</v>
      </c>
      <c r="C201" s="2" t="s">
        <v>623</v>
      </c>
      <c r="D201" s="2" t="s">
        <v>627</v>
      </c>
      <c r="E201" s="2"/>
    </row>
    <row r="202" spans="1:7" x14ac:dyDescent="0.25">
      <c r="A202" s="2" t="s">
        <v>628</v>
      </c>
      <c r="B202" s="2" t="s">
        <v>629</v>
      </c>
      <c r="C202" s="2" t="s">
        <v>314</v>
      </c>
      <c r="D202" s="2" t="s">
        <v>630</v>
      </c>
      <c r="E202" s="2"/>
    </row>
    <row r="203" spans="1:7" x14ac:dyDescent="0.25">
      <c r="A203" s="2" t="s">
        <v>631</v>
      </c>
      <c r="B203" s="2" t="s">
        <v>632</v>
      </c>
      <c r="C203" s="2" t="s">
        <v>314</v>
      </c>
      <c r="D203" s="2" t="s">
        <v>633</v>
      </c>
      <c r="E203" s="2"/>
    </row>
    <row r="204" spans="1:7" x14ac:dyDescent="0.25">
      <c r="A204" s="2" t="s">
        <v>634</v>
      </c>
      <c r="B204" s="2" t="s">
        <v>635</v>
      </c>
      <c r="C204" s="2" t="s">
        <v>463</v>
      </c>
      <c r="D204" s="2" t="s">
        <v>636</v>
      </c>
      <c r="E204" s="2"/>
    </row>
    <row r="205" spans="1:7" x14ac:dyDescent="0.25">
      <c r="A205" s="2" t="s">
        <v>637</v>
      </c>
      <c r="B205" s="2" t="s">
        <v>638</v>
      </c>
      <c r="C205" s="2" t="s">
        <v>314</v>
      </c>
      <c r="D205" s="2" t="s">
        <v>639</v>
      </c>
      <c r="E205" s="2"/>
    </row>
    <row r="206" spans="1:7" x14ac:dyDescent="0.25">
      <c r="A206" s="2" t="s">
        <v>382</v>
      </c>
      <c r="B206" s="2" t="s">
        <v>640</v>
      </c>
      <c r="C206" s="2" t="s">
        <v>378</v>
      </c>
      <c r="D206" s="2" t="s">
        <v>641</v>
      </c>
      <c r="E206" s="2"/>
    </row>
    <row r="207" spans="1:7" x14ac:dyDescent="0.25">
      <c r="A207" s="2" t="s">
        <v>642</v>
      </c>
      <c r="B207" s="2" t="s">
        <v>643</v>
      </c>
      <c r="C207" s="2" t="s">
        <v>347</v>
      </c>
      <c r="D207" s="2" t="s">
        <v>644</v>
      </c>
      <c r="E207" s="2"/>
    </row>
    <row r="208" spans="1:7" x14ac:dyDescent="0.25">
      <c r="A208" s="2" t="s">
        <v>645</v>
      </c>
      <c r="B208" s="2" t="s">
        <v>646</v>
      </c>
      <c r="C208" s="2" t="s">
        <v>435</v>
      </c>
      <c r="D208" s="2" t="s">
        <v>647</v>
      </c>
      <c r="E208" s="2"/>
    </row>
    <row r="209" spans="1:5" x14ac:dyDescent="0.25">
      <c r="A209" s="2" t="s">
        <v>648</v>
      </c>
      <c r="B209" s="2" t="s">
        <v>649</v>
      </c>
      <c r="C209" s="2" t="s">
        <v>650</v>
      </c>
      <c r="D209" s="2" t="s">
        <v>651</v>
      </c>
      <c r="E209" s="2"/>
    </row>
    <row r="210" spans="1:5" x14ac:dyDescent="0.25">
      <c r="A210" s="2" t="s">
        <v>652</v>
      </c>
      <c r="B210" s="2" t="s">
        <v>653</v>
      </c>
      <c r="C210" s="2" t="s">
        <v>654</v>
      </c>
      <c r="D210" s="2" t="s">
        <v>655</v>
      </c>
      <c r="E210" s="2"/>
    </row>
    <row r="211" spans="1:5" x14ac:dyDescent="0.25">
      <c r="A211" s="2" t="s">
        <v>656</v>
      </c>
      <c r="B211" s="2" t="s">
        <v>657</v>
      </c>
      <c r="C211" s="2" t="s">
        <v>658</v>
      </c>
      <c r="D211" s="2" t="s">
        <v>659</v>
      </c>
      <c r="E211" s="2"/>
    </row>
    <row r="212" spans="1:5" x14ac:dyDescent="0.25">
      <c r="A212" s="2" t="s">
        <v>660</v>
      </c>
      <c r="B212" s="2" t="s">
        <v>661</v>
      </c>
      <c r="C212" s="2" t="s">
        <v>314</v>
      </c>
      <c r="D212" s="2" t="s">
        <v>662</v>
      </c>
      <c r="E212" s="2"/>
    </row>
    <row r="213" spans="1:5" x14ac:dyDescent="0.25">
      <c r="A213" s="2" t="s">
        <v>663</v>
      </c>
      <c r="B213" s="2" t="s">
        <v>664</v>
      </c>
      <c r="C213" s="2" t="s">
        <v>665</v>
      </c>
      <c r="D213" s="2" t="s">
        <v>666</v>
      </c>
      <c r="E213" s="2"/>
    </row>
    <row r="214" spans="1:5" x14ac:dyDescent="0.25">
      <c r="A214" s="2" t="s">
        <v>667</v>
      </c>
      <c r="B214" s="2" t="s">
        <v>668</v>
      </c>
      <c r="C214" s="2" t="s">
        <v>665</v>
      </c>
      <c r="D214" s="2" t="s">
        <v>669</v>
      </c>
      <c r="E214" s="2"/>
    </row>
    <row r="215" spans="1:5" x14ac:dyDescent="0.25">
      <c r="A215" s="2" t="s">
        <v>670</v>
      </c>
      <c r="B215" s="2"/>
      <c r="C215" s="2"/>
      <c r="D215" s="2"/>
      <c r="E215" s="2"/>
    </row>
    <row r="216" spans="1:5" x14ac:dyDescent="0.25">
      <c r="A216" s="2" t="s">
        <v>671</v>
      </c>
      <c r="B216" s="2"/>
      <c r="C216" s="2"/>
      <c r="D216" s="2"/>
      <c r="E216" s="2"/>
    </row>
    <row r="217" spans="1:5" x14ac:dyDescent="0.25">
      <c r="A217" s="2" t="s">
        <v>672</v>
      </c>
      <c r="B217" s="2"/>
      <c r="C217" s="2"/>
      <c r="D217" s="2"/>
      <c r="E217" s="2"/>
    </row>
    <row r="218" spans="1:5" x14ac:dyDescent="0.25">
      <c r="A218" s="2" t="s">
        <v>673</v>
      </c>
      <c r="B218" s="2"/>
      <c r="C218" s="2"/>
      <c r="D218" s="2"/>
      <c r="E218" s="2"/>
    </row>
    <row r="219" spans="1:5" x14ac:dyDescent="0.25">
      <c r="A219" s="2" t="s">
        <v>674</v>
      </c>
      <c r="B219" s="2"/>
      <c r="C219" s="2"/>
      <c r="D219" s="2"/>
      <c r="E219" s="2"/>
    </row>
    <row r="220" spans="1:5" x14ac:dyDescent="0.25">
      <c r="A220" s="2" t="s">
        <v>675</v>
      </c>
      <c r="B220" s="2"/>
      <c r="C220" s="2"/>
      <c r="D220" s="2"/>
      <c r="E220" s="2"/>
    </row>
    <row r="222" spans="1:5" x14ac:dyDescent="0.25">
      <c r="A222" s="16" t="s">
        <v>676</v>
      </c>
      <c r="B222" s="17"/>
      <c r="C222" s="17"/>
    </row>
    <row r="223" spans="1:5" x14ac:dyDescent="0.25">
      <c r="A223" s="2" t="s">
        <v>677</v>
      </c>
      <c r="B223" s="11" t="s">
        <v>176</v>
      </c>
      <c r="C223" s="2" t="s">
        <v>130</v>
      </c>
    </row>
    <row r="224" spans="1:5" x14ac:dyDescent="0.25">
      <c r="A224" s="2" t="s">
        <v>678</v>
      </c>
      <c r="B224" s="11" t="s">
        <v>679</v>
      </c>
      <c r="C224" s="2" t="s">
        <v>680</v>
      </c>
    </row>
    <row r="225" spans="1:3" x14ac:dyDescent="0.25">
      <c r="A225" s="2" t="s">
        <v>681</v>
      </c>
      <c r="B225" s="11" t="s">
        <v>219</v>
      </c>
      <c r="C225" s="2" t="s">
        <v>682</v>
      </c>
    </row>
    <row r="226" spans="1:3" x14ac:dyDescent="0.25">
      <c r="A226" s="2" t="s">
        <v>683</v>
      </c>
      <c r="B226" s="11" t="s">
        <v>684</v>
      </c>
      <c r="C226" s="2" t="s">
        <v>685</v>
      </c>
    </row>
    <row r="227" spans="1:3" x14ac:dyDescent="0.25">
      <c r="A227" s="2" t="s">
        <v>686</v>
      </c>
      <c r="B227" s="11" t="s">
        <v>687</v>
      </c>
      <c r="C227" s="2" t="s">
        <v>688</v>
      </c>
    </row>
    <row r="228" spans="1:3" x14ac:dyDescent="0.25">
      <c r="A228" s="2" t="s">
        <v>689</v>
      </c>
      <c r="B228" s="11" t="s">
        <v>690</v>
      </c>
      <c r="C228" s="2" t="s">
        <v>691</v>
      </c>
    </row>
    <row r="229" spans="1:3" x14ac:dyDescent="0.25">
      <c r="A229" s="2" t="s">
        <v>692</v>
      </c>
      <c r="B229" s="11" t="s">
        <v>693</v>
      </c>
      <c r="C229" s="2" t="s">
        <v>694</v>
      </c>
    </row>
    <row r="230" spans="1:3" x14ac:dyDescent="0.25">
      <c r="A230" s="2" t="s">
        <v>695</v>
      </c>
      <c r="B230" s="11" t="s">
        <v>696</v>
      </c>
      <c r="C230" s="2" t="s">
        <v>697</v>
      </c>
    </row>
    <row r="231" spans="1:3" x14ac:dyDescent="0.25">
      <c r="A231" s="2" t="s">
        <v>230</v>
      </c>
      <c r="B231" s="11" t="s">
        <v>698</v>
      </c>
      <c r="C231" s="2" t="s">
        <v>699</v>
      </c>
    </row>
    <row r="232" spans="1:3" x14ac:dyDescent="0.25">
      <c r="A232" s="2" t="s">
        <v>700</v>
      </c>
      <c r="B232" s="11" t="s">
        <v>701</v>
      </c>
      <c r="C232" s="2" t="s">
        <v>702</v>
      </c>
    </row>
    <row r="233" spans="1:3" x14ac:dyDescent="0.25">
      <c r="A233" s="2" t="s">
        <v>703</v>
      </c>
      <c r="B233" s="11" t="s">
        <v>704</v>
      </c>
      <c r="C233" s="2" t="s">
        <v>705</v>
      </c>
    </row>
    <row r="234" spans="1:3" x14ac:dyDescent="0.25">
      <c r="A234" s="2" t="s">
        <v>706</v>
      </c>
      <c r="B234" s="11" t="s">
        <v>707</v>
      </c>
      <c r="C234" s="2" t="s">
        <v>708</v>
      </c>
    </row>
    <row r="235" spans="1:3" x14ac:dyDescent="0.25">
      <c r="A235" s="2" t="s">
        <v>709</v>
      </c>
      <c r="B235" s="11" t="s">
        <v>710</v>
      </c>
      <c r="C235" s="2" t="s">
        <v>711</v>
      </c>
    </row>
    <row r="236" spans="1:3" x14ac:dyDescent="0.25">
      <c r="A236" s="2" t="s">
        <v>712</v>
      </c>
      <c r="B236" s="11" t="s">
        <v>713</v>
      </c>
      <c r="C236" s="2" t="s">
        <v>714</v>
      </c>
    </row>
    <row r="237" spans="1:3" x14ac:dyDescent="0.25">
      <c r="A237" s="2" t="s">
        <v>715</v>
      </c>
      <c r="B237" s="11" t="s">
        <v>181</v>
      </c>
      <c r="C237" s="2" t="s">
        <v>716</v>
      </c>
    </row>
    <row r="238" spans="1:3" x14ac:dyDescent="0.25">
      <c r="A238" s="2" t="s">
        <v>717</v>
      </c>
      <c r="B238" s="11" t="s">
        <v>202</v>
      </c>
      <c r="C238" s="2" t="s">
        <v>718</v>
      </c>
    </row>
    <row r="239" spans="1:3" x14ac:dyDescent="0.25">
      <c r="A239" s="2" t="s">
        <v>719</v>
      </c>
      <c r="B239" s="11" t="s">
        <v>186</v>
      </c>
      <c r="C239" s="2" t="s">
        <v>720</v>
      </c>
    </row>
    <row r="240" spans="1:3" x14ac:dyDescent="0.25">
      <c r="A240" s="2" t="s">
        <v>721</v>
      </c>
      <c r="B240" s="11" t="s">
        <v>722</v>
      </c>
      <c r="C240" s="2" t="s">
        <v>723</v>
      </c>
    </row>
    <row r="241" spans="1:8" x14ac:dyDescent="0.25">
      <c r="A241" s="2" t="s">
        <v>724</v>
      </c>
      <c r="B241" s="11" t="s">
        <v>725</v>
      </c>
      <c r="C241" s="2" t="s">
        <v>726</v>
      </c>
    </row>
    <row r="242" spans="1:8" x14ac:dyDescent="0.25">
      <c r="A242" s="2" t="s">
        <v>727</v>
      </c>
      <c r="B242" s="11" t="s">
        <v>728</v>
      </c>
      <c r="C242" s="2" t="s">
        <v>729</v>
      </c>
    </row>
    <row r="243" spans="1:8" x14ac:dyDescent="0.25">
      <c r="A243" s="2" t="s">
        <v>730</v>
      </c>
      <c r="B243" s="11" t="s">
        <v>731</v>
      </c>
      <c r="C243" s="2" t="s">
        <v>732</v>
      </c>
    </row>
    <row r="246" spans="1:8" ht="18.75" customHeight="1" x14ac:dyDescent="0.3">
      <c r="A246" s="18" t="s">
        <v>733</v>
      </c>
      <c r="B246" s="17"/>
      <c r="C246" s="17"/>
      <c r="D246" s="17"/>
      <c r="E246" s="17"/>
      <c r="F246" s="17"/>
      <c r="G246" s="17"/>
      <c r="H246" s="17"/>
    </row>
    <row r="248" spans="1:8" x14ac:dyDescent="0.25">
      <c r="A248" s="16" t="s">
        <v>734</v>
      </c>
      <c r="B248" s="17"/>
      <c r="C248" s="17"/>
      <c r="D248" s="17"/>
    </row>
    <row r="249" spans="1:8" x14ac:dyDescent="0.25">
      <c r="A249" s="2" t="s">
        <v>735</v>
      </c>
      <c r="B249" s="2" t="s">
        <v>736</v>
      </c>
      <c r="C249" s="2" t="s">
        <v>737</v>
      </c>
      <c r="D249" s="2"/>
    </row>
    <row r="250" spans="1:8" x14ac:dyDescent="0.25">
      <c r="A250" s="2" t="s">
        <v>738</v>
      </c>
      <c r="B250" s="2" t="s">
        <v>739</v>
      </c>
      <c r="C250" s="2" t="s">
        <v>740</v>
      </c>
      <c r="D250" s="2"/>
    </row>
    <row r="251" spans="1:8" x14ac:dyDescent="0.25">
      <c r="A251" s="2" t="s">
        <v>741</v>
      </c>
      <c r="B251" s="2" t="s">
        <v>742</v>
      </c>
      <c r="C251" s="2" t="s">
        <v>743</v>
      </c>
      <c r="D251" s="2"/>
    </row>
    <row r="252" spans="1:8" x14ac:dyDescent="0.25">
      <c r="A252" s="2" t="s">
        <v>744</v>
      </c>
      <c r="B252" s="2" t="s">
        <v>745</v>
      </c>
      <c r="C252" s="2" t="s">
        <v>746</v>
      </c>
      <c r="D252" s="2"/>
    </row>
    <row r="253" spans="1:8" x14ac:dyDescent="0.25">
      <c r="A253" s="2" t="s">
        <v>747</v>
      </c>
      <c r="B253" s="2" t="s">
        <v>748</v>
      </c>
      <c r="C253" s="2" t="s">
        <v>749</v>
      </c>
      <c r="D253" s="2"/>
    </row>
    <row r="254" spans="1:8" x14ac:dyDescent="0.25">
      <c r="A254" s="2" t="s">
        <v>750</v>
      </c>
      <c r="B254" s="2" t="s">
        <v>751</v>
      </c>
      <c r="C254" s="2" t="s">
        <v>752</v>
      </c>
      <c r="D254" s="2"/>
    </row>
    <row r="255" spans="1:8" x14ac:dyDescent="0.25">
      <c r="A255" s="2" t="s">
        <v>753</v>
      </c>
      <c r="B255" s="2" t="s">
        <v>754</v>
      </c>
      <c r="C255" s="2" t="s">
        <v>755</v>
      </c>
      <c r="D255" s="2"/>
    </row>
    <row r="256" spans="1:8" x14ac:dyDescent="0.25">
      <c r="A256" s="2" t="s">
        <v>756</v>
      </c>
      <c r="B256" s="2" t="s">
        <v>757</v>
      </c>
      <c r="C256" s="2" t="s">
        <v>758</v>
      </c>
      <c r="D256" s="2"/>
    </row>
    <row r="257" spans="1:4" x14ac:dyDescent="0.25">
      <c r="A257" s="2" t="s">
        <v>759</v>
      </c>
      <c r="B257" s="2" t="s">
        <v>760</v>
      </c>
      <c r="C257" s="2" t="s">
        <v>761</v>
      </c>
      <c r="D257" s="2"/>
    </row>
    <row r="258" spans="1:4" x14ac:dyDescent="0.25">
      <c r="A258" s="2" t="s">
        <v>762</v>
      </c>
      <c r="B258" s="2" t="s">
        <v>763</v>
      </c>
      <c r="C258" s="2" t="s">
        <v>764</v>
      </c>
      <c r="D258" s="2"/>
    </row>
    <row r="259" spans="1:4" x14ac:dyDescent="0.25">
      <c r="A259" s="2" t="s">
        <v>765</v>
      </c>
      <c r="B259" s="2" t="s">
        <v>766</v>
      </c>
      <c r="C259" s="2" t="s">
        <v>767</v>
      </c>
      <c r="D259" s="2"/>
    </row>
    <row r="260" spans="1:4" x14ac:dyDescent="0.25">
      <c r="A260" s="2" t="s">
        <v>768</v>
      </c>
      <c r="B260" s="2" t="s">
        <v>769</v>
      </c>
      <c r="C260" s="2" t="s">
        <v>770</v>
      </c>
      <c r="D260" s="2"/>
    </row>
    <row r="261" spans="1:4" x14ac:dyDescent="0.25">
      <c r="A261" s="2" t="s">
        <v>771</v>
      </c>
      <c r="B261" s="2" t="s">
        <v>772</v>
      </c>
      <c r="C261" s="2" t="s">
        <v>773</v>
      </c>
      <c r="D261" s="2"/>
    </row>
    <row r="262" spans="1:4" x14ac:dyDescent="0.25">
      <c r="A262" s="2" t="s">
        <v>774</v>
      </c>
      <c r="B262" s="2" t="s">
        <v>775</v>
      </c>
      <c r="C262" s="2" t="s">
        <v>776</v>
      </c>
      <c r="D262" s="2"/>
    </row>
    <row r="263" spans="1:4" x14ac:dyDescent="0.25">
      <c r="A263" s="2" t="s">
        <v>777</v>
      </c>
      <c r="B263" s="2" t="s">
        <v>778</v>
      </c>
      <c r="C263" s="2" t="s">
        <v>779</v>
      </c>
      <c r="D263" s="2"/>
    </row>
    <row r="264" spans="1:4" x14ac:dyDescent="0.25">
      <c r="A264" s="2" t="s">
        <v>780</v>
      </c>
      <c r="B264" s="2" t="s">
        <v>781</v>
      </c>
      <c r="C264" s="2" t="s">
        <v>782</v>
      </c>
      <c r="D264" s="2"/>
    </row>
    <row r="265" spans="1:4" x14ac:dyDescent="0.25">
      <c r="A265" s="2" t="s">
        <v>783</v>
      </c>
      <c r="B265" s="2" t="s">
        <v>784</v>
      </c>
      <c r="C265" s="2" t="s">
        <v>785</v>
      </c>
      <c r="D265" s="2"/>
    </row>
    <row r="266" spans="1:4" x14ac:dyDescent="0.25">
      <c r="A266" s="2" t="s">
        <v>786</v>
      </c>
      <c r="B266" s="2" t="s">
        <v>787</v>
      </c>
      <c r="C266" s="2" t="s">
        <v>788</v>
      </c>
      <c r="D266" s="2"/>
    </row>
    <row r="267" spans="1:4" x14ac:dyDescent="0.25">
      <c r="A267" s="2" t="s">
        <v>789</v>
      </c>
      <c r="B267" s="2" t="s">
        <v>790</v>
      </c>
      <c r="C267" s="2" t="s">
        <v>791</v>
      </c>
      <c r="D267" s="2"/>
    </row>
    <row r="269" spans="1:4" x14ac:dyDescent="0.25">
      <c r="A269" s="16" t="s">
        <v>792</v>
      </c>
      <c r="B269" s="17"/>
      <c r="C269" s="17"/>
      <c r="D269" s="17"/>
    </row>
    <row r="270" spans="1:4" x14ac:dyDescent="0.25">
      <c r="A270" s="2" t="s">
        <v>735</v>
      </c>
      <c r="B270" s="2" t="s">
        <v>736</v>
      </c>
      <c r="C270" s="2" t="s">
        <v>737</v>
      </c>
      <c r="D270" s="2"/>
    </row>
    <row r="271" spans="1:4" x14ac:dyDescent="0.25">
      <c r="A271" s="2" t="s">
        <v>793</v>
      </c>
      <c r="B271" s="2" t="s">
        <v>794</v>
      </c>
      <c r="C271" s="2" t="s">
        <v>795</v>
      </c>
      <c r="D271" s="2"/>
    </row>
    <row r="272" spans="1:4" x14ac:dyDescent="0.25">
      <c r="A272" s="2" t="s">
        <v>796</v>
      </c>
      <c r="B272" s="2" t="s">
        <v>797</v>
      </c>
      <c r="C272" s="2" t="s">
        <v>798</v>
      </c>
      <c r="D272" s="2"/>
    </row>
    <row r="273" spans="1:4" x14ac:dyDescent="0.25">
      <c r="A273" s="2" t="s">
        <v>799</v>
      </c>
      <c r="B273" s="2" t="s">
        <v>800</v>
      </c>
      <c r="C273" s="2" t="s">
        <v>801</v>
      </c>
      <c r="D273" s="2"/>
    </row>
    <row r="274" spans="1:4" x14ac:dyDescent="0.25">
      <c r="A274" s="2" t="s">
        <v>802</v>
      </c>
      <c r="B274" s="2" t="s">
        <v>803</v>
      </c>
      <c r="C274" s="2" t="s">
        <v>804</v>
      </c>
      <c r="D274" s="2"/>
    </row>
    <row r="275" spans="1:4" x14ac:dyDescent="0.25">
      <c r="A275" s="2" t="s">
        <v>805</v>
      </c>
      <c r="B275" s="2" t="s">
        <v>806</v>
      </c>
      <c r="C275" s="2" t="s">
        <v>807</v>
      </c>
      <c r="D275" s="2"/>
    </row>
    <row r="276" spans="1:4" x14ac:dyDescent="0.25">
      <c r="A276" s="2" t="s">
        <v>808</v>
      </c>
      <c r="B276" s="2" t="s">
        <v>809</v>
      </c>
      <c r="C276" s="2" t="s">
        <v>810</v>
      </c>
      <c r="D276" s="2"/>
    </row>
    <row r="277" spans="1:4" x14ac:dyDescent="0.25">
      <c r="A277" s="2" t="s">
        <v>811</v>
      </c>
      <c r="B277" s="2" t="s">
        <v>812</v>
      </c>
      <c r="C277" s="2" t="s">
        <v>813</v>
      </c>
      <c r="D277" s="2"/>
    </row>
    <row r="278" spans="1:4" x14ac:dyDescent="0.25">
      <c r="A278" s="2" t="s">
        <v>814</v>
      </c>
      <c r="B278" s="2" t="s">
        <v>815</v>
      </c>
      <c r="C278" s="2" t="s">
        <v>816</v>
      </c>
      <c r="D278" s="2"/>
    </row>
    <row r="279" spans="1:4" x14ac:dyDescent="0.25">
      <c r="A279" s="2" t="s">
        <v>817</v>
      </c>
      <c r="B279" s="2" t="s">
        <v>818</v>
      </c>
      <c r="C279" s="2" t="s">
        <v>819</v>
      </c>
      <c r="D279" s="2"/>
    </row>
    <row r="280" spans="1:4" x14ac:dyDescent="0.25">
      <c r="A280" s="2" t="s">
        <v>820</v>
      </c>
      <c r="B280" s="2" t="s">
        <v>821</v>
      </c>
      <c r="C280" s="2" t="s">
        <v>822</v>
      </c>
      <c r="D280" s="2"/>
    </row>
    <row r="281" spans="1:4" x14ac:dyDescent="0.25">
      <c r="A281" s="2" t="s">
        <v>823</v>
      </c>
      <c r="B281" s="2" t="s">
        <v>824</v>
      </c>
      <c r="C281" s="2" t="s">
        <v>825</v>
      </c>
      <c r="D281" s="2"/>
    </row>
    <row r="282" spans="1:4" x14ac:dyDescent="0.25">
      <c r="A282" s="2" t="s">
        <v>826</v>
      </c>
      <c r="B282" s="2" t="s">
        <v>827</v>
      </c>
      <c r="C282" s="2" t="s">
        <v>828</v>
      </c>
      <c r="D282" s="2"/>
    </row>
    <row r="283" spans="1:4" x14ac:dyDescent="0.25">
      <c r="A283" s="2" t="s">
        <v>829</v>
      </c>
      <c r="B283" s="2" t="s">
        <v>830</v>
      </c>
      <c r="C283" s="2" t="s">
        <v>831</v>
      </c>
      <c r="D283" s="2"/>
    </row>
    <row r="284" spans="1:4" x14ac:dyDescent="0.25">
      <c r="A284" s="2" t="s">
        <v>832</v>
      </c>
      <c r="B284" s="2" t="s">
        <v>833</v>
      </c>
      <c r="C284" s="2" t="s">
        <v>834</v>
      </c>
      <c r="D284" s="2"/>
    </row>
    <row r="285" spans="1:4" x14ac:dyDescent="0.25">
      <c r="A285" s="2" t="s">
        <v>835</v>
      </c>
      <c r="B285" s="2" t="s">
        <v>836</v>
      </c>
      <c r="C285" s="2" t="s">
        <v>837</v>
      </c>
      <c r="D285" s="2"/>
    </row>
    <row r="286" spans="1:4" x14ac:dyDescent="0.25">
      <c r="A286" s="2" t="s">
        <v>838</v>
      </c>
      <c r="B286" s="2" t="s">
        <v>839</v>
      </c>
      <c r="C286" s="2" t="s">
        <v>840</v>
      </c>
      <c r="D286" s="2"/>
    </row>
    <row r="287" spans="1:4" x14ac:dyDescent="0.25">
      <c r="A287" s="2" t="s">
        <v>841</v>
      </c>
      <c r="B287" s="2" t="s">
        <v>842</v>
      </c>
      <c r="C287" s="2" t="s">
        <v>843</v>
      </c>
      <c r="D287" s="2"/>
    </row>
    <row r="289" spans="1:4" x14ac:dyDescent="0.25">
      <c r="A289" s="16" t="s">
        <v>844</v>
      </c>
      <c r="B289" s="17"/>
      <c r="C289" s="17"/>
      <c r="D289" s="17"/>
    </row>
    <row r="290" spans="1:4" x14ac:dyDescent="0.25">
      <c r="A290" s="2" t="s">
        <v>735</v>
      </c>
      <c r="B290" s="2" t="s">
        <v>736</v>
      </c>
      <c r="C290" s="2" t="s">
        <v>737</v>
      </c>
      <c r="D290" s="2"/>
    </row>
    <row r="291" spans="1:4" x14ac:dyDescent="0.25">
      <c r="A291" s="2" t="s">
        <v>845</v>
      </c>
      <c r="B291" s="2" t="s">
        <v>846</v>
      </c>
      <c r="C291" s="2" t="s">
        <v>847</v>
      </c>
      <c r="D291" s="2"/>
    </row>
    <row r="292" spans="1:4" x14ac:dyDescent="0.25">
      <c r="A292" s="2" t="s">
        <v>848</v>
      </c>
      <c r="B292" s="2" t="s">
        <v>849</v>
      </c>
      <c r="C292" s="2" t="s">
        <v>850</v>
      </c>
      <c r="D292" s="2"/>
    </row>
    <row r="293" spans="1:4" x14ac:dyDescent="0.25">
      <c r="A293" s="2" t="s">
        <v>851</v>
      </c>
      <c r="B293" s="2" t="s">
        <v>852</v>
      </c>
      <c r="C293" s="2" t="s">
        <v>853</v>
      </c>
      <c r="D293" s="2"/>
    </row>
    <row r="294" spans="1:4" x14ac:dyDescent="0.25">
      <c r="A294" s="2" t="s">
        <v>854</v>
      </c>
      <c r="B294" s="2" t="s">
        <v>855</v>
      </c>
      <c r="C294" s="2" t="s">
        <v>856</v>
      </c>
      <c r="D294" s="2"/>
    </row>
    <row r="295" spans="1:4" x14ac:dyDescent="0.25">
      <c r="A295" s="2" t="s">
        <v>857</v>
      </c>
      <c r="B295" s="2" t="s">
        <v>858</v>
      </c>
      <c r="C295" s="2" t="s">
        <v>859</v>
      </c>
      <c r="D295" s="2"/>
    </row>
    <row r="296" spans="1:4" x14ac:dyDescent="0.25">
      <c r="A296" s="2" t="s">
        <v>860</v>
      </c>
      <c r="B296" s="2" t="s">
        <v>861</v>
      </c>
      <c r="C296" s="2" t="s">
        <v>862</v>
      </c>
      <c r="D296" s="2"/>
    </row>
    <row r="297" spans="1:4" x14ac:dyDescent="0.25">
      <c r="A297" s="2" t="s">
        <v>863</v>
      </c>
      <c r="B297" s="2" t="s">
        <v>864</v>
      </c>
      <c r="C297" s="2" t="s">
        <v>865</v>
      </c>
      <c r="D297" s="2"/>
    </row>
    <row r="298" spans="1:4" x14ac:dyDescent="0.25">
      <c r="A298" s="2" t="s">
        <v>866</v>
      </c>
      <c r="B298" s="2" t="s">
        <v>867</v>
      </c>
      <c r="C298" s="2" t="s">
        <v>868</v>
      </c>
      <c r="D298" s="2"/>
    </row>
    <row r="299" spans="1:4" x14ac:dyDescent="0.25">
      <c r="A299" s="2" t="s">
        <v>869</v>
      </c>
      <c r="B299" s="2" t="s">
        <v>870</v>
      </c>
      <c r="C299" s="2" t="s">
        <v>871</v>
      </c>
      <c r="D299" s="2"/>
    </row>
    <row r="300" spans="1:4" x14ac:dyDescent="0.25">
      <c r="A300" s="2" t="s">
        <v>872</v>
      </c>
      <c r="B300" s="2" t="s">
        <v>873</v>
      </c>
      <c r="C300" s="2" t="s">
        <v>874</v>
      </c>
      <c r="D300" s="2"/>
    </row>
    <row r="301" spans="1:4" x14ac:dyDescent="0.25">
      <c r="A301" s="2" t="s">
        <v>875</v>
      </c>
      <c r="B301" s="2" t="s">
        <v>876</v>
      </c>
      <c r="C301" s="2" t="s">
        <v>877</v>
      </c>
      <c r="D301" s="2"/>
    </row>
    <row r="302" spans="1:4" x14ac:dyDescent="0.25">
      <c r="A302" s="2" t="s">
        <v>878</v>
      </c>
      <c r="B302" s="2" t="s">
        <v>879</v>
      </c>
      <c r="C302" s="2" t="s">
        <v>880</v>
      </c>
      <c r="D302" s="2"/>
    </row>
    <row r="303" spans="1:4" x14ac:dyDescent="0.25">
      <c r="A303" s="2" t="s">
        <v>881</v>
      </c>
      <c r="B303" s="2" t="s">
        <v>882</v>
      </c>
      <c r="C303" s="2" t="s">
        <v>883</v>
      </c>
      <c r="D303" s="2"/>
    </row>
    <row r="304" spans="1:4" x14ac:dyDescent="0.25">
      <c r="A304" s="2" t="s">
        <v>884</v>
      </c>
      <c r="B304" s="2" t="s">
        <v>885</v>
      </c>
      <c r="C304" s="2" t="s">
        <v>886</v>
      </c>
      <c r="D304" s="2"/>
    </row>
    <row r="306" spans="1:4" x14ac:dyDescent="0.25">
      <c r="A306" s="16" t="s">
        <v>887</v>
      </c>
      <c r="B306" s="17"/>
      <c r="C306" s="17"/>
      <c r="D306" s="17"/>
    </row>
    <row r="307" spans="1:4" x14ac:dyDescent="0.25">
      <c r="A307" s="2" t="s">
        <v>735</v>
      </c>
      <c r="B307" s="2" t="s">
        <v>736</v>
      </c>
      <c r="C307" s="2" t="s">
        <v>737</v>
      </c>
      <c r="D307" s="2"/>
    </row>
    <row r="308" spans="1:4" x14ac:dyDescent="0.25">
      <c r="A308" s="2" t="s">
        <v>888</v>
      </c>
      <c r="B308" s="2" t="s">
        <v>889</v>
      </c>
      <c r="C308" s="2" t="s">
        <v>890</v>
      </c>
      <c r="D308" s="2"/>
    </row>
    <row r="309" spans="1:4" x14ac:dyDescent="0.25">
      <c r="A309" s="2" t="s">
        <v>891</v>
      </c>
      <c r="B309" s="2" t="s">
        <v>892</v>
      </c>
      <c r="C309" s="2" t="s">
        <v>893</v>
      </c>
      <c r="D309" s="2"/>
    </row>
    <row r="310" spans="1:4" x14ac:dyDescent="0.25">
      <c r="A310" s="2" t="s">
        <v>894</v>
      </c>
      <c r="B310" s="2" t="s">
        <v>895</v>
      </c>
      <c r="C310" s="2" t="s">
        <v>896</v>
      </c>
      <c r="D310" s="2"/>
    </row>
    <row r="311" spans="1:4" x14ac:dyDescent="0.25">
      <c r="A311" s="2" t="s">
        <v>897</v>
      </c>
      <c r="B311" s="2" t="s">
        <v>898</v>
      </c>
      <c r="C311" s="2" t="s">
        <v>899</v>
      </c>
      <c r="D311" s="2"/>
    </row>
    <row r="312" spans="1:4" x14ac:dyDescent="0.25">
      <c r="A312" s="2" t="s">
        <v>900</v>
      </c>
      <c r="B312" s="2" t="s">
        <v>901</v>
      </c>
      <c r="C312" s="2" t="s">
        <v>902</v>
      </c>
      <c r="D312" s="2"/>
    </row>
    <row r="313" spans="1:4" x14ac:dyDescent="0.25">
      <c r="A313" s="2" t="s">
        <v>903</v>
      </c>
      <c r="B313" s="2" t="s">
        <v>904</v>
      </c>
      <c r="C313" s="2" t="s">
        <v>905</v>
      </c>
      <c r="D313" s="2"/>
    </row>
    <row r="314" spans="1:4" x14ac:dyDescent="0.25">
      <c r="A314" s="2" t="s">
        <v>906</v>
      </c>
      <c r="B314" s="2" t="s">
        <v>907</v>
      </c>
      <c r="C314" s="2" t="s">
        <v>908</v>
      </c>
      <c r="D314" s="2"/>
    </row>
    <row r="315" spans="1:4" x14ac:dyDescent="0.25">
      <c r="A315" s="2" t="s">
        <v>909</v>
      </c>
      <c r="B315" s="2" t="s">
        <v>910</v>
      </c>
      <c r="C315" s="2" t="s">
        <v>911</v>
      </c>
      <c r="D315" s="2"/>
    </row>
    <row r="316" spans="1:4" x14ac:dyDescent="0.25">
      <c r="A316" s="2" t="s">
        <v>912</v>
      </c>
      <c r="B316" s="2" t="s">
        <v>913</v>
      </c>
      <c r="C316" s="2" t="s">
        <v>914</v>
      </c>
      <c r="D316" s="2"/>
    </row>
    <row r="317" spans="1:4" x14ac:dyDescent="0.25">
      <c r="A317" s="2" t="s">
        <v>915</v>
      </c>
      <c r="B317" s="2" t="s">
        <v>916</v>
      </c>
      <c r="C317" s="2" t="s">
        <v>917</v>
      </c>
      <c r="D317" s="2"/>
    </row>
    <row r="318" spans="1:4" x14ac:dyDescent="0.25">
      <c r="A318" s="2" t="s">
        <v>918</v>
      </c>
      <c r="B318" s="2" t="s">
        <v>919</v>
      </c>
      <c r="C318" s="2" t="s">
        <v>920</v>
      </c>
      <c r="D318" s="2"/>
    </row>
    <row r="319" spans="1:4" x14ac:dyDescent="0.25">
      <c r="A319" s="2" t="s">
        <v>921</v>
      </c>
      <c r="B319" s="2" t="s">
        <v>922</v>
      </c>
      <c r="C319" s="2" t="s">
        <v>923</v>
      </c>
      <c r="D319" s="2"/>
    </row>
    <row r="320" spans="1:4" x14ac:dyDescent="0.25">
      <c r="A320" s="2" t="s">
        <v>924</v>
      </c>
      <c r="B320" s="2" t="s">
        <v>925</v>
      </c>
      <c r="C320" s="2" t="s">
        <v>926</v>
      </c>
      <c r="D320" s="2"/>
    </row>
    <row r="321" spans="1:4" x14ac:dyDescent="0.25">
      <c r="A321" s="2" t="s">
        <v>927</v>
      </c>
      <c r="B321" s="2" t="s">
        <v>928</v>
      </c>
      <c r="C321" s="2" t="s">
        <v>929</v>
      </c>
      <c r="D321" s="2"/>
    </row>
    <row r="322" spans="1:4" x14ac:dyDescent="0.25">
      <c r="A322" s="2" t="s">
        <v>930</v>
      </c>
      <c r="B322" s="2" t="s">
        <v>931</v>
      </c>
      <c r="C322" s="2" t="s">
        <v>932</v>
      </c>
      <c r="D322" s="2"/>
    </row>
    <row r="323" spans="1:4" x14ac:dyDescent="0.25">
      <c r="A323" s="2" t="s">
        <v>933</v>
      </c>
      <c r="B323" s="2" t="s">
        <v>934</v>
      </c>
      <c r="C323" s="2" t="s">
        <v>935</v>
      </c>
      <c r="D323" s="2"/>
    </row>
    <row r="325" spans="1:4" x14ac:dyDescent="0.25">
      <c r="A325" s="16" t="s">
        <v>936</v>
      </c>
      <c r="B325" s="17"/>
      <c r="C325" s="17"/>
      <c r="D325" s="17"/>
    </row>
    <row r="326" spans="1:4" x14ac:dyDescent="0.25">
      <c r="A326" s="2" t="s">
        <v>735</v>
      </c>
      <c r="B326" s="2" t="s">
        <v>736</v>
      </c>
      <c r="C326" s="2" t="s">
        <v>737</v>
      </c>
      <c r="D326" s="2"/>
    </row>
    <row r="327" spans="1:4" x14ac:dyDescent="0.25">
      <c r="A327" s="2" t="s">
        <v>526</v>
      </c>
      <c r="B327" s="2" t="s">
        <v>937</v>
      </c>
      <c r="C327" s="2" t="s">
        <v>938</v>
      </c>
      <c r="D327" s="2"/>
    </row>
    <row r="328" spans="1:4" x14ac:dyDescent="0.25">
      <c r="A328" s="2" t="s">
        <v>939</v>
      </c>
      <c r="B328" s="2" t="s">
        <v>940</v>
      </c>
      <c r="C328" s="2" t="s">
        <v>941</v>
      </c>
      <c r="D328" s="2"/>
    </row>
    <row r="329" spans="1:4" x14ac:dyDescent="0.25">
      <c r="A329" s="2" t="s">
        <v>942</v>
      </c>
      <c r="B329" s="2" t="s">
        <v>943</v>
      </c>
      <c r="C329" s="2" t="s">
        <v>944</v>
      </c>
      <c r="D329" s="2"/>
    </row>
    <row r="330" spans="1:4" x14ac:dyDescent="0.25">
      <c r="A330" s="2" t="s">
        <v>945</v>
      </c>
      <c r="B330" s="2" t="s">
        <v>946</v>
      </c>
      <c r="C330" s="2" t="s">
        <v>947</v>
      </c>
      <c r="D330" s="2"/>
    </row>
    <row r="331" spans="1:4" x14ac:dyDescent="0.25">
      <c r="A331" s="2" t="s">
        <v>498</v>
      </c>
      <c r="B331" s="2" t="s">
        <v>948</v>
      </c>
      <c r="C331" s="2" t="s">
        <v>949</v>
      </c>
      <c r="D331" s="2"/>
    </row>
    <row r="332" spans="1:4" x14ac:dyDescent="0.25">
      <c r="A332" s="2" t="s">
        <v>517</v>
      </c>
      <c r="B332" s="2" t="s">
        <v>950</v>
      </c>
      <c r="C332" s="2" t="s">
        <v>951</v>
      </c>
      <c r="D332" s="2"/>
    </row>
    <row r="333" spans="1:4" x14ac:dyDescent="0.25">
      <c r="A333" s="2" t="s">
        <v>952</v>
      </c>
      <c r="B333" s="2" t="s">
        <v>953</v>
      </c>
      <c r="C333" s="2" t="s">
        <v>954</v>
      </c>
      <c r="D333" s="2"/>
    </row>
    <row r="334" spans="1:4" x14ac:dyDescent="0.25">
      <c r="A334" s="2" t="s">
        <v>955</v>
      </c>
      <c r="B334" s="2" t="s">
        <v>956</v>
      </c>
      <c r="C334" s="2" t="s">
        <v>957</v>
      </c>
      <c r="D334" s="2"/>
    </row>
    <row r="335" spans="1:4" x14ac:dyDescent="0.25">
      <c r="A335" s="2" t="s">
        <v>958</v>
      </c>
      <c r="B335" s="2" t="s">
        <v>959</v>
      </c>
      <c r="C335" s="2" t="s">
        <v>960</v>
      </c>
      <c r="D335" s="2"/>
    </row>
    <row r="338" spans="1:4" x14ac:dyDescent="0.25">
      <c r="A338" s="16" t="s">
        <v>961</v>
      </c>
      <c r="B338" s="17"/>
      <c r="C338" s="17"/>
      <c r="D338" s="17"/>
    </row>
    <row r="339" spans="1:4" x14ac:dyDescent="0.25">
      <c r="A339" s="2" t="s">
        <v>962</v>
      </c>
      <c r="B339" s="2" t="s">
        <v>307</v>
      </c>
      <c r="C339" s="2" t="s">
        <v>963</v>
      </c>
      <c r="D339" s="2"/>
    </row>
    <row r="340" spans="1:4" x14ac:dyDescent="0.25">
      <c r="A340" s="2" t="s">
        <v>964</v>
      </c>
      <c r="B340" s="2" t="s">
        <v>965</v>
      </c>
      <c r="C340" s="2" t="s">
        <v>966</v>
      </c>
      <c r="D340" s="2"/>
    </row>
    <row r="341" spans="1:4" x14ac:dyDescent="0.25">
      <c r="A341" s="2" t="s">
        <v>967</v>
      </c>
      <c r="B341" s="2" t="s">
        <v>968</v>
      </c>
      <c r="C341" s="2" t="s">
        <v>969</v>
      </c>
      <c r="D341" s="2"/>
    </row>
    <row r="342" spans="1:4" x14ac:dyDescent="0.25">
      <c r="A342" s="2" t="s">
        <v>970</v>
      </c>
      <c r="B342" s="2" t="s">
        <v>971</v>
      </c>
      <c r="C342" s="2" t="s">
        <v>972</v>
      </c>
      <c r="D342" s="2"/>
    </row>
    <row r="343" spans="1:4" x14ac:dyDescent="0.25">
      <c r="A343" s="2" t="s">
        <v>973</v>
      </c>
      <c r="B343" s="2" t="s">
        <v>974</v>
      </c>
      <c r="C343" s="2" t="s">
        <v>975</v>
      </c>
      <c r="D343" s="2"/>
    </row>
    <row r="344" spans="1:4" x14ac:dyDescent="0.25">
      <c r="A344" s="2" t="s">
        <v>976</v>
      </c>
      <c r="B344" s="2" t="s">
        <v>977</v>
      </c>
      <c r="C344" s="2" t="s">
        <v>978</v>
      </c>
      <c r="D344" s="2"/>
    </row>
    <row r="345" spans="1:4" x14ac:dyDescent="0.25">
      <c r="A345" s="2" t="s">
        <v>979</v>
      </c>
      <c r="B345" s="2" t="s">
        <v>980</v>
      </c>
      <c r="C345" s="2" t="s">
        <v>981</v>
      </c>
      <c r="D345" s="2"/>
    </row>
    <row r="346" spans="1:4" x14ac:dyDescent="0.25">
      <c r="A346" s="2" t="s">
        <v>982</v>
      </c>
      <c r="B346" s="2" t="s">
        <v>983</v>
      </c>
      <c r="C346" s="2" t="s">
        <v>984</v>
      </c>
      <c r="D346" s="2"/>
    </row>
    <row r="347" spans="1:4" x14ac:dyDescent="0.25">
      <c r="A347" s="2" t="s">
        <v>985</v>
      </c>
      <c r="B347" s="2" t="s">
        <v>986</v>
      </c>
      <c r="C347" s="2" t="s">
        <v>987</v>
      </c>
      <c r="D347" s="2"/>
    </row>
    <row r="348" spans="1:4" x14ac:dyDescent="0.25">
      <c r="A348" s="2" t="s">
        <v>988</v>
      </c>
      <c r="B348" s="2" t="s">
        <v>989</v>
      </c>
      <c r="C348" s="2" t="s">
        <v>990</v>
      </c>
      <c r="D348" s="2"/>
    </row>
    <row r="349" spans="1:4" x14ac:dyDescent="0.25">
      <c r="A349" s="2" t="s">
        <v>991</v>
      </c>
      <c r="B349" s="2" t="s">
        <v>992</v>
      </c>
      <c r="C349" s="2" t="s">
        <v>993</v>
      </c>
      <c r="D349" s="2"/>
    </row>
    <row r="350" spans="1:4" x14ac:dyDescent="0.25">
      <c r="A350" s="2" t="s">
        <v>994</v>
      </c>
      <c r="B350" s="2" t="s">
        <v>995</v>
      </c>
      <c r="C350" s="2" t="s">
        <v>996</v>
      </c>
      <c r="D350" s="2"/>
    </row>
    <row r="352" spans="1:4" x14ac:dyDescent="0.25">
      <c r="A352" s="16" t="s">
        <v>997</v>
      </c>
      <c r="B352" s="17"/>
      <c r="C352" s="17"/>
      <c r="D352" s="17"/>
    </row>
    <row r="353" spans="1:4" x14ac:dyDescent="0.25">
      <c r="A353" s="2" t="s">
        <v>962</v>
      </c>
      <c r="B353" s="2" t="s">
        <v>307</v>
      </c>
      <c r="C353" s="2" t="s">
        <v>963</v>
      </c>
      <c r="D353" s="2"/>
    </row>
    <row r="354" spans="1:4" x14ac:dyDescent="0.25">
      <c r="A354" s="2" t="s">
        <v>998</v>
      </c>
      <c r="B354" s="2" t="s">
        <v>999</v>
      </c>
      <c r="C354" s="2" t="s">
        <v>1000</v>
      </c>
      <c r="D354" s="2"/>
    </row>
    <row r="355" spans="1:4" x14ac:dyDescent="0.25">
      <c r="A355" s="2" t="s">
        <v>1001</v>
      </c>
      <c r="B355" s="2" t="s">
        <v>1002</v>
      </c>
      <c r="C355" s="2" t="s">
        <v>1003</v>
      </c>
      <c r="D355" s="2"/>
    </row>
    <row r="356" spans="1:4" x14ac:dyDescent="0.25">
      <c r="A356" s="2" t="s">
        <v>1004</v>
      </c>
      <c r="B356" s="2" t="s">
        <v>1005</v>
      </c>
      <c r="C356" s="2" t="s">
        <v>1006</v>
      </c>
      <c r="D356" s="2"/>
    </row>
    <row r="357" spans="1:4" x14ac:dyDescent="0.25">
      <c r="A357" s="2" t="s">
        <v>1007</v>
      </c>
      <c r="B357" s="2" t="s">
        <v>1008</v>
      </c>
      <c r="C357" s="2" t="s">
        <v>1009</v>
      </c>
      <c r="D357" s="2"/>
    </row>
    <row r="358" spans="1:4" x14ac:dyDescent="0.25">
      <c r="A358" s="2" t="s">
        <v>1010</v>
      </c>
      <c r="B358" s="2" t="s">
        <v>1011</v>
      </c>
      <c r="C358" s="2" t="s">
        <v>1012</v>
      </c>
      <c r="D358" s="2"/>
    </row>
    <row r="359" spans="1:4" x14ac:dyDescent="0.25">
      <c r="A359" s="2" t="s">
        <v>1013</v>
      </c>
      <c r="B359" s="2" t="s">
        <v>1014</v>
      </c>
      <c r="C359" s="2" t="s">
        <v>1015</v>
      </c>
      <c r="D359" s="2"/>
    </row>
    <row r="360" spans="1:4" x14ac:dyDescent="0.25">
      <c r="A360" s="2" t="s">
        <v>1016</v>
      </c>
      <c r="B360" s="2" t="s">
        <v>1017</v>
      </c>
      <c r="C360" s="2" t="s">
        <v>1018</v>
      </c>
      <c r="D360" s="2"/>
    </row>
    <row r="361" spans="1:4" x14ac:dyDescent="0.25">
      <c r="A361" s="2" t="s">
        <v>1019</v>
      </c>
      <c r="B361" s="2" t="s">
        <v>1020</v>
      </c>
      <c r="C361" s="2" t="s">
        <v>1021</v>
      </c>
      <c r="D361" s="2"/>
    </row>
    <row r="362" spans="1:4" x14ac:dyDescent="0.25">
      <c r="A362" s="2" t="s">
        <v>1022</v>
      </c>
      <c r="B362" s="2" t="s">
        <v>1023</v>
      </c>
      <c r="C362" s="2" t="s">
        <v>1024</v>
      </c>
      <c r="D362" s="2"/>
    </row>
    <row r="364" spans="1:4" x14ac:dyDescent="0.25">
      <c r="A364" s="16" t="s">
        <v>1025</v>
      </c>
      <c r="B364" s="17"/>
      <c r="C364" s="17"/>
      <c r="D364" s="17"/>
    </row>
    <row r="365" spans="1:4" x14ac:dyDescent="0.25">
      <c r="A365" s="2" t="s">
        <v>962</v>
      </c>
      <c r="B365" s="2" t="s">
        <v>307</v>
      </c>
      <c r="C365" s="2" t="s">
        <v>963</v>
      </c>
      <c r="D365" s="2"/>
    </row>
    <row r="366" spans="1:4" x14ac:dyDescent="0.25">
      <c r="A366" s="2" t="s">
        <v>1026</v>
      </c>
      <c r="B366" s="2" t="s">
        <v>1027</v>
      </c>
      <c r="C366" s="2" t="s">
        <v>1028</v>
      </c>
      <c r="D366" s="2"/>
    </row>
    <row r="367" spans="1:4" x14ac:dyDescent="0.25">
      <c r="A367" s="2" t="s">
        <v>1029</v>
      </c>
      <c r="B367" s="2" t="s">
        <v>1030</v>
      </c>
      <c r="C367" s="2" t="s">
        <v>1031</v>
      </c>
      <c r="D367" s="2"/>
    </row>
    <row r="368" spans="1:4" x14ac:dyDescent="0.25">
      <c r="A368" s="2" t="s">
        <v>145</v>
      </c>
      <c r="B368" s="2" t="s">
        <v>1032</v>
      </c>
      <c r="C368" s="2" t="s">
        <v>1033</v>
      </c>
      <c r="D368" s="2"/>
    </row>
    <row r="369" spans="1:4" x14ac:dyDescent="0.25">
      <c r="A369" s="2" t="s">
        <v>1034</v>
      </c>
      <c r="B369" s="2" t="s">
        <v>1035</v>
      </c>
      <c r="C369" s="2" t="s">
        <v>1036</v>
      </c>
      <c r="D369" s="2"/>
    </row>
    <row r="370" spans="1:4" x14ac:dyDescent="0.25">
      <c r="A370" s="2" t="s">
        <v>1037</v>
      </c>
      <c r="B370" s="2" t="s">
        <v>1038</v>
      </c>
      <c r="C370" s="2" t="s">
        <v>1039</v>
      </c>
      <c r="D370" s="2"/>
    </row>
    <row r="371" spans="1:4" x14ac:dyDescent="0.25">
      <c r="A371" s="2" t="s">
        <v>1040</v>
      </c>
      <c r="B371" s="2" t="s">
        <v>1041</v>
      </c>
      <c r="C371" s="2" t="s">
        <v>1042</v>
      </c>
      <c r="D371" s="2"/>
    </row>
    <row r="372" spans="1:4" x14ac:dyDescent="0.25">
      <c r="A372" s="2" t="s">
        <v>1043</v>
      </c>
      <c r="B372" s="2" t="s">
        <v>1044</v>
      </c>
      <c r="C372" s="2" t="s">
        <v>1045</v>
      </c>
      <c r="D372" s="2"/>
    </row>
    <row r="374" spans="1:4" x14ac:dyDescent="0.25">
      <c r="A374" s="16" t="s">
        <v>1046</v>
      </c>
      <c r="B374" s="17"/>
      <c r="C374" s="17"/>
      <c r="D374" s="17"/>
    </row>
    <row r="375" spans="1:4" x14ac:dyDescent="0.25">
      <c r="A375" s="2" t="s">
        <v>962</v>
      </c>
      <c r="B375" s="2" t="s">
        <v>307</v>
      </c>
      <c r="C375" s="2" t="s">
        <v>963</v>
      </c>
      <c r="D375" s="2"/>
    </row>
    <row r="376" spans="1:4" x14ac:dyDescent="0.25">
      <c r="A376" s="2" t="s">
        <v>1047</v>
      </c>
      <c r="B376" s="2" t="s">
        <v>1048</v>
      </c>
      <c r="C376" s="2" t="s">
        <v>501</v>
      </c>
      <c r="D376" s="2"/>
    </row>
    <row r="377" spans="1:4" x14ac:dyDescent="0.25">
      <c r="A377" s="2" t="s">
        <v>1049</v>
      </c>
      <c r="B377" s="2" t="s">
        <v>1050</v>
      </c>
      <c r="C377" s="2" t="s">
        <v>1051</v>
      </c>
      <c r="D377" s="2"/>
    </row>
    <row r="378" spans="1:4" x14ac:dyDescent="0.25">
      <c r="A378" s="2" t="s">
        <v>1052</v>
      </c>
      <c r="B378" s="2" t="s">
        <v>1053</v>
      </c>
      <c r="C378" s="2" t="s">
        <v>1054</v>
      </c>
      <c r="D378" s="2"/>
    </row>
    <row r="379" spans="1:4" x14ac:dyDescent="0.25">
      <c r="A379" s="2" t="s">
        <v>1055</v>
      </c>
      <c r="B379" s="2" t="s">
        <v>1056</v>
      </c>
      <c r="C379" s="2" t="s">
        <v>1057</v>
      </c>
      <c r="D379" s="2"/>
    </row>
    <row r="380" spans="1:4" x14ac:dyDescent="0.25">
      <c r="A380" s="2" t="s">
        <v>507</v>
      </c>
      <c r="B380" s="2" t="s">
        <v>1058</v>
      </c>
      <c r="C380" s="2" t="s">
        <v>509</v>
      </c>
      <c r="D380" s="2"/>
    </row>
    <row r="381" spans="1:4" x14ac:dyDescent="0.25">
      <c r="A381" s="2" t="s">
        <v>133</v>
      </c>
      <c r="B381" s="2" t="s">
        <v>1059</v>
      </c>
      <c r="C381" s="2" t="s">
        <v>512</v>
      </c>
      <c r="D381" s="2"/>
    </row>
    <row r="382" spans="1:4" x14ac:dyDescent="0.25">
      <c r="A382" s="2" t="s">
        <v>137</v>
      </c>
      <c r="B382" s="2" t="s">
        <v>1060</v>
      </c>
      <c r="C382" s="2" t="s">
        <v>146</v>
      </c>
      <c r="D382" s="2"/>
    </row>
    <row r="383" spans="1:4" x14ac:dyDescent="0.25">
      <c r="A383" s="2" t="s">
        <v>1061</v>
      </c>
      <c r="B383" s="2" t="s">
        <v>1062</v>
      </c>
      <c r="C383" s="2" t="s">
        <v>1063</v>
      </c>
      <c r="D383" s="2"/>
    </row>
    <row r="384" spans="1:4" x14ac:dyDescent="0.25">
      <c r="A384" s="2" t="s">
        <v>1064</v>
      </c>
      <c r="B384" s="2" t="s">
        <v>1065</v>
      </c>
      <c r="C384" s="2" t="s">
        <v>152</v>
      </c>
      <c r="D384" s="2"/>
    </row>
    <row r="385" spans="1:4" x14ac:dyDescent="0.25">
      <c r="A385" s="2" t="s">
        <v>1026</v>
      </c>
      <c r="B385" s="2" t="s">
        <v>1066</v>
      </c>
      <c r="C385" s="2" t="s">
        <v>521</v>
      </c>
      <c r="D385" s="2"/>
    </row>
    <row r="386" spans="1:4" x14ac:dyDescent="0.25">
      <c r="A386" s="2" t="s">
        <v>1040</v>
      </c>
      <c r="B386" s="2" t="s">
        <v>1067</v>
      </c>
      <c r="C386" s="2" t="s">
        <v>154</v>
      </c>
      <c r="D386" s="2"/>
    </row>
    <row r="387" spans="1:4" x14ac:dyDescent="0.25">
      <c r="A387" s="2" t="s">
        <v>1068</v>
      </c>
      <c r="B387" s="2" t="s">
        <v>1069</v>
      </c>
      <c r="C387" s="2" t="s">
        <v>162</v>
      </c>
      <c r="D387" s="2"/>
    </row>
    <row r="388" spans="1:4" x14ac:dyDescent="0.25">
      <c r="A388" s="2" t="s">
        <v>1070</v>
      </c>
      <c r="B388" s="2" t="s">
        <v>1071</v>
      </c>
      <c r="C388" s="2" t="s">
        <v>1072</v>
      </c>
      <c r="D388" s="2"/>
    </row>
    <row r="389" spans="1:4" x14ac:dyDescent="0.25">
      <c r="A389" s="2" t="s">
        <v>1073</v>
      </c>
      <c r="B389" s="2" t="s">
        <v>1074</v>
      </c>
      <c r="C389" s="2" t="s">
        <v>1075</v>
      </c>
      <c r="D389" s="2"/>
    </row>
    <row r="390" spans="1:4" x14ac:dyDescent="0.25">
      <c r="A390" s="2" t="s">
        <v>1076</v>
      </c>
      <c r="B390" s="2" t="s">
        <v>1077</v>
      </c>
      <c r="C390" s="2" t="s">
        <v>146</v>
      </c>
      <c r="D390" s="2"/>
    </row>
    <row r="391" spans="1:4" x14ac:dyDescent="0.25">
      <c r="A391" s="2" t="s">
        <v>1078</v>
      </c>
      <c r="B391" s="2" t="s">
        <v>1079</v>
      </c>
      <c r="C391" s="2" t="s">
        <v>1080</v>
      </c>
      <c r="D391" s="2"/>
    </row>
    <row r="393" spans="1:4" x14ac:dyDescent="0.25">
      <c r="A393" s="16" t="s">
        <v>1081</v>
      </c>
      <c r="B393" s="17"/>
      <c r="C393" s="17"/>
      <c r="D393" s="17"/>
    </row>
    <row r="394" spans="1:4" x14ac:dyDescent="0.25">
      <c r="A394" s="2" t="s">
        <v>962</v>
      </c>
      <c r="B394" s="2" t="s">
        <v>307</v>
      </c>
      <c r="C394" s="2" t="s">
        <v>963</v>
      </c>
      <c r="D394" s="2"/>
    </row>
    <row r="395" spans="1:4" x14ac:dyDescent="0.25">
      <c r="A395" s="2" t="s">
        <v>1055</v>
      </c>
      <c r="B395" s="2" t="s">
        <v>1082</v>
      </c>
      <c r="C395" s="2" t="s">
        <v>1083</v>
      </c>
      <c r="D395" s="2"/>
    </row>
    <row r="396" spans="1:4" x14ac:dyDescent="0.25">
      <c r="A396" s="2" t="s">
        <v>507</v>
      </c>
      <c r="B396" s="2" t="s">
        <v>1084</v>
      </c>
      <c r="C396" s="2" t="s">
        <v>501</v>
      </c>
      <c r="D396" s="2"/>
    </row>
    <row r="397" spans="1:4" x14ac:dyDescent="0.25">
      <c r="A397" s="2" t="s">
        <v>133</v>
      </c>
      <c r="B397" s="2" t="s">
        <v>1085</v>
      </c>
      <c r="C397" s="2" t="s">
        <v>1086</v>
      </c>
      <c r="D397" s="2"/>
    </row>
    <row r="398" spans="1:4" x14ac:dyDescent="0.25">
      <c r="A398" s="2" t="s">
        <v>135</v>
      </c>
      <c r="B398" s="2" t="s">
        <v>1087</v>
      </c>
      <c r="C398" s="2" t="s">
        <v>504</v>
      </c>
      <c r="D398" s="2"/>
    </row>
    <row r="399" spans="1:4" x14ac:dyDescent="0.25">
      <c r="A399" s="2" t="s">
        <v>137</v>
      </c>
      <c r="B399" s="2" t="s">
        <v>1088</v>
      </c>
      <c r="C399" s="2" t="s">
        <v>504</v>
      </c>
      <c r="D399" s="2"/>
    </row>
    <row r="400" spans="1:4" x14ac:dyDescent="0.25">
      <c r="A400" s="2" t="s">
        <v>139</v>
      </c>
      <c r="B400" s="2" t="s">
        <v>1089</v>
      </c>
      <c r="C400" s="2" t="s">
        <v>1090</v>
      </c>
      <c r="D400" s="2"/>
    </row>
    <row r="401" spans="1:4" x14ac:dyDescent="0.25">
      <c r="A401" s="2" t="s">
        <v>1091</v>
      </c>
      <c r="B401" s="2" t="s">
        <v>1092</v>
      </c>
      <c r="C401" s="2" t="s">
        <v>1063</v>
      </c>
      <c r="D401" s="2"/>
    </row>
    <row r="402" spans="1:4" x14ac:dyDescent="0.25">
      <c r="A402" s="2" t="s">
        <v>1064</v>
      </c>
      <c r="B402" s="2" t="s">
        <v>1093</v>
      </c>
      <c r="C402" s="2" t="s">
        <v>509</v>
      </c>
      <c r="D402" s="2"/>
    </row>
    <row r="403" spans="1:4" x14ac:dyDescent="0.25">
      <c r="A403" s="2" t="s">
        <v>143</v>
      </c>
      <c r="B403" s="2" t="s">
        <v>1094</v>
      </c>
      <c r="C403" s="2" t="s">
        <v>512</v>
      </c>
      <c r="D403" s="2"/>
    </row>
    <row r="404" spans="1:4" x14ac:dyDescent="0.25">
      <c r="A404" s="2" t="s">
        <v>145</v>
      </c>
      <c r="B404" s="2" t="s">
        <v>1095</v>
      </c>
      <c r="C404" s="2" t="s">
        <v>512</v>
      </c>
      <c r="D404" s="2"/>
    </row>
    <row r="405" spans="1:4" x14ac:dyDescent="0.25">
      <c r="A405" s="2" t="s">
        <v>530</v>
      </c>
      <c r="B405" s="2" t="s">
        <v>1096</v>
      </c>
      <c r="C405" s="2" t="s">
        <v>146</v>
      </c>
      <c r="D405" s="2"/>
    </row>
    <row r="406" spans="1:4" x14ac:dyDescent="0.25">
      <c r="A406" s="2" t="s">
        <v>1097</v>
      </c>
      <c r="B406" s="2" t="s">
        <v>1098</v>
      </c>
      <c r="C406" s="2" t="s">
        <v>1099</v>
      </c>
      <c r="D406" s="2"/>
    </row>
    <row r="407" spans="1:4" x14ac:dyDescent="0.25">
      <c r="A407" s="2" t="s">
        <v>153</v>
      </c>
      <c r="B407" s="2" t="s">
        <v>1100</v>
      </c>
      <c r="C407" s="2" t="s">
        <v>1101</v>
      </c>
      <c r="D407" s="2"/>
    </row>
    <row r="408" spans="1:4" x14ac:dyDescent="0.25">
      <c r="A408" s="2" t="s">
        <v>1102</v>
      </c>
      <c r="B408" s="2" t="s">
        <v>1103</v>
      </c>
      <c r="C408" s="2" t="s">
        <v>521</v>
      </c>
      <c r="D408" s="2"/>
    </row>
    <row r="409" spans="1:4" x14ac:dyDescent="0.25">
      <c r="A409" s="2" t="s">
        <v>1104</v>
      </c>
      <c r="B409" s="2" t="s">
        <v>1105</v>
      </c>
      <c r="C409" s="2" t="s">
        <v>162</v>
      </c>
      <c r="D409" s="2"/>
    </row>
    <row r="410" spans="1:4" x14ac:dyDescent="0.25">
      <c r="A410" s="2" t="s">
        <v>1106</v>
      </c>
      <c r="B410" s="2" t="s">
        <v>1107</v>
      </c>
      <c r="C410" s="2" t="s">
        <v>1080</v>
      </c>
      <c r="D410" s="2"/>
    </row>
    <row r="412" spans="1:4" x14ac:dyDescent="0.25">
      <c r="A412" s="16" t="s">
        <v>1108</v>
      </c>
      <c r="B412" s="17"/>
      <c r="C412" s="17"/>
      <c r="D412" s="17"/>
    </row>
    <row r="413" spans="1:4" x14ac:dyDescent="0.25">
      <c r="A413" s="2" t="s">
        <v>962</v>
      </c>
      <c r="B413" s="2" t="s">
        <v>307</v>
      </c>
      <c r="C413" s="2" t="s">
        <v>963</v>
      </c>
      <c r="D413" s="2"/>
    </row>
    <row r="414" spans="1:4" x14ac:dyDescent="0.25">
      <c r="A414" s="2" t="s">
        <v>1109</v>
      </c>
      <c r="B414" s="2" t="s">
        <v>1110</v>
      </c>
      <c r="C414" s="2" t="s">
        <v>1111</v>
      </c>
      <c r="D414" s="2"/>
    </row>
    <row r="415" spans="1:4" x14ac:dyDescent="0.25">
      <c r="A415" s="2" t="s">
        <v>1112</v>
      </c>
      <c r="B415" s="2" t="s">
        <v>1113</v>
      </c>
      <c r="C415" s="2" t="s">
        <v>1114</v>
      </c>
      <c r="D415" s="2"/>
    </row>
    <row r="416" spans="1:4" x14ac:dyDescent="0.25">
      <c r="A416" s="2" t="s">
        <v>1115</v>
      </c>
      <c r="B416" s="2" t="s">
        <v>1116</v>
      </c>
      <c r="C416" s="2" t="s">
        <v>1117</v>
      </c>
      <c r="D416" s="2"/>
    </row>
    <row r="417" spans="1:4" x14ac:dyDescent="0.25">
      <c r="A417" s="2" t="s">
        <v>1118</v>
      </c>
      <c r="B417" s="2" t="s">
        <v>1119</v>
      </c>
      <c r="C417" s="2" t="s">
        <v>1120</v>
      </c>
      <c r="D417" s="2"/>
    </row>
    <row r="418" spans="1:4" x14ac:dyDescent="0.25">
      <c r="A418" s="2" t="s">
        <v>1106</v>
      </c>
      <c r="B418" s="2" t="s">
        <v>1121</v>
      </c>
      <c r="C418" s="2" t="s">
        <v>1122</v>
      </c>
      <c r="D418" s="2"/>
    </row>
    <row r="419" spans="1:4" x14ac:dyDescent="0.25">
      <c r="A419" s="2" t="s">
        <v>1076</v>
      </c>
      <c r="B419" s="2" t="s">
        <v>1123</v>
      </c>
      <c r="C419" s="2" t="s">
        <v>1124</v>
      </c>
      <c r="D419" s="2"/>
    </row>
    <row r="420" spans="1:4" x14ac:dyDescent="0.25">
      <c r="A420" s="2" t="s">
        <v>1125</v>
      </c>
      <c r="B420" s="2" t="s">
        <v>1126</v>
      </c>
      <c r="C420" s="2" t="s">
        <v>1127</v>
      </c>
      <c r="D420" s="2"/>
    </row>
    <row r="421" spans="1:4" x14ac:dyDescent="0.25">
      <c r="A421" s="2" t="s">
        <v>1128</v>
      </c>
      <c r="B421" s="2" t="s">
        <v>1129</v>
      </c>
      <c r="C421" s="2" t="s">
        <v>1130</v>
      </c>
      <c r="D421" s="2"/>
    </row>
    <row r="422" spans="1:4" x14ac:dyDescent="0.25">
      <c r="A422" s="2" t="s">
        <v>1131</v>
      </c>
      <c r="B422" s="2" t="s">
        <v>1132</v>
      </c>
      <c r="C422" s="2" t="s">
        <v>1133</v>
      </c>
      <c r="D422" s="2"/>
    </row>
    <row r="423" spans="1:4" x14ac:dyDescent="0.25">
      <c r="A423" s="2" t="s">
        <v>1134</v>
      </c>
      <c r="B423" s="2" t="s">
        <v>1135</v>
      </c>
      <c r="C423" s="2" t="s">
        <v>1136</v>
      </c>
      <c r="D423" s="2"/>
    </row>
    <row r="424" spans="1:4" x14ac:dyDescent="0.25">
      <c r="A424" s="2" t="s">
        <v>1137</v>
      </c>
      <c r="B424" s="2" t="s">
        <v>1138</v>
      </c>
      <c r="C424" s="2" t="s">
        <v>1139</v>
      </c>
      <c r="D424" s="2"/>
    </row>
    <row r="425" spans="1:4" x14ac:dyDescent="0.25">
      <c r="A425" s="2" t="s">
        <v>1140</v>
      </c>
      <c r="B425" s="2" t="s">
        <v>1141</v>
      </c>
      <c r="C425" s="2" t="s">
        <v>1142</v>
      </c>
      <c r="D425" s="2"/>
    </row>
    <row r="427" spans="1:4" x14ac:dyDescent="0.25">
      <c r="A427" s="16" t="s">
        <v>1143</v>
      </c>
      <c r="B427" s="17"/>
      <c r="C427" s="17"/>
      <c r="D427" s="17"/>
    </row>
    <row r="428" spans="1:4" x14ac:dyDescent="0.25">
      <c r="A428" s="2" t="s">
        <v>962</v>
      </c>
      <c r="B428" s="2" t="s">
        <v>307</v>
      </c>
      <c r="C428" s="2" t="s">
        <v>963</v>
      </c>
      <c r="D428" s="2"/>
    </row>
    <row r="429" spans="1:4" x14ac:dyDescent="0.25">
      <c r="A429" s="2" t="s">
        <v>1144</v>
      </c>
      <c r="B429" s="2" t="s">
        <v>30</v>
      </c>
      <c r="C429" s="2" t="s">
        <v>1145</v>
      </c>
      <c r="D429" s="2"/>
    </row>
    <row r="430" spans="1:4" x14ac:dyDescent="0.25">
      <c r="A430" s="2" t="s">
        <v>1146</v>
      </c>
      <c r="B430" s="2" t="s">
        <v>1147</v>
      </c>
      <c r="C430" s="2" t="s">
        <v>1148</v>
      </c>
      <c r="D430" s="2"/>
    </row>
    <row r="431" spans="1:4" x14ac:dyDescent="0.25">
      <c r="A431" s="2" t="s">
        <v>1149</v>
      </c>
      <c r="B431" s="2" t="s">
        <v>1150</v>
      </c>
      <c r="C431" s="2" t="s">
        <v>1151</v>
      </c>
      <c r="D431" s="2"/>
    </row>
    <row r="433" spans="1:4" x14ac:dyDescent="0.25">
      <c r="A433" s="16" t="s">
        <v>1152</v>
      </c>
      <c r="B433" s="17"/>
      <c r="C433" s="17"/>
      <c r="D433" s="17"/>
    </row>
    <row r="434" spans="1:4" x14ac:dyDescent="0.25">
      <c r="A434" s="2" t="s">
        <v>962</v>
      </c>
      <c r="B434" s="2" t="s">
        <v>307</v>
      </c>
      <c r="C434" s="2" t="s">
        <v>963</v>
      </c>
      <c r="D434" s="2"/>
    </row>
    <row r="435" spans="1:4" x14ac:dyDescent="0.25">
      <c r="A435" s="2" t="s">
        <v>1153</v>
      </c>
      <c r="B435" s="2" t="s">
        <v>1154</v>
      </c>
      <c r="C435" s="2" t="s">
        <v>501</v>
      </c>
      <c r="D435" s="2"/>
    </row>
    <row r="436" spans="1:4" x14ac:dyDescent="0.25">
      <c r="A436" s="2" t="s">
        <v>1155</v>
      </c>
      <c r="B436" s="2" t="s">
        <v>1156</v>
      </c>
      <c r="C436" s="2" t="s">
        <v>1157</v>
      </c>
      <c r="D436" s="2"/>
    </row>
    <row r="437" spans="1:4" x14ac:dyDescent="0.25">
      <c r="A437" s="2" t="s">
        <v>1158</v>
      </c>
      <c r="B437" s="2" t="s">
        <v>1158</v>
      </c>
      <c r="C437" s="2" t="s">
        <v>1159</v>
      </c>
      <c r="D437" s="2"/>
    </row>
    <row r="438" spans="1:4" x14ac:dyDescent="0.25">
      <c r="A438" s="2" t="s">
        <v>1160</v>
      </c>
      <c r="B438" s="2" t="s">
        <v>1161</v>
      </c>
      <c r="C438" s="2" t="s">
        <v>1162</v>
      </c>
      <c r="D438" s="2"/>
    </row>
    <row r="439" spans="1:4" x14ac:dyDescent="0.25">
      <c r="A439" s="2" t="s">
        <v>1163</v>
      </c>
      <c r="B439" s="2" t="s">
        <v>1164</v>
      </c>
      <c r="C439" s="2" t="s">
        <v>1165</v>
      </c>
      <c r="D439" s="2"/>
    </row>
    <row r="440" spans="1:4" x14ac:dyDescent="0.25">
      <c r="A440" s="2" t="s">
        <v>1166</v>
      </c>
      <c r="B440" s="2" t="s">
        <v>1167</v>
      </c>
      <c r="C440" s="2" t="s">
        <v>1168</v>
      </c>
      <c r="D440" s="2"/>
    </row>
    <row r="441" spans="1:4" x14ac:dyDescent="0.25">
      <c r="A441" s="2" t="s">
        <v>1169</v>
      </c>
      <c r="B441" s="2" t="s">
        <v>1170</v>
      </c>
      <c r="C441" s="2" t="s">
        <v>1171</v>
      </c>
      <c r="D441" s="2"/>
    </row>
    <row r="442" spans="1:4" x14ac:dyDescent="0.25">
      <c r="A442" s="2" t="s">
        <v>1172</v>
      </c>
      <c r="B442" s="2" t="s">
        <v>1173</v>
      </c>
      <c r="C442" s="2" t="s">
        <v>1174</v>
      </c>
      <c r="D442" s="2"/>
    </row>
    <row r="443" spans="1:4" x14ac:dyDescent="0.25">
      <c r="A443" s="2" t="s">
        <v>1175</v>
      </c>
      <c r="B443" s="2" t="s">
        <v>1176</v>
      </c>
      <c r="C443" s="2" t="s">
        <v>1177</v>
      </c>
      <c r="D443" s="2"/>
    </row>
    <row r="445" spans="1:4" x14ac:dyDescent="0.25">
      <c r="A445" s="16" t="s">
        <v>1178</v>
      </c>
      <c r="B445" s="17"/>
      <c r="C445" s="17"/>
      <c r="D445" s="17"/>
    </row>
    <row r="446" spans="1:4" x14ac:dyDescent="0.25">
      <c r="A446" s="2" t="s">
        <v>962</v>
      </c>
      <c r="B446" s="2" t="s">
        <v>307</v>
      </c>
      <c r="C446" s="2" t="s">
        <v>963</v>
      </c>
      <c r="D446" s="2"/>
    </row>
    <row r="447" spans="1:4" x14ac:dyDescent="0.25">
      <c r="A447" s="2" t="s">
        <v>1179</v>
      </c>
      <c r="B447" s="2" t="s">
        <v>1180</v>
      </c>
      <c r="C447" s="2" t="s">
        <v>1181</v>
      </c>
      <c r="D447" s="2"/>
    </row>
    <row r="448" spans="1:4" x14ac:dyDescent="0.25">
      <c r="A448" s="2" t="s">
        <v>1182</v>
      </c>
      <c r="B448" s="2" t="s">
        <v>1183</v>
      </c>
      <c r="C448" s="2" t="s">
        <v>1184</v>
      </c>
      <c r="D448" s="2"/>
    </row>
    <row r="449" spans="1:4" x14ac:dyDescent="0.25">
      <c r="A449" s="2" t="s">
        <v>1185</v>
      </c>
      <c r="B449" s="2" t="s">
        <v>1186</v>
      </c>
      <c r="C449" s="2" t="s">
        <v>1187</v>
      </c>
      <c r="D449" s="2"/>
    </row>
    <row r="450" spans="1:4" x14ac:dyDescent="0.25">
      <c r="A450" s="2" t="s">
        <v>1188</v>
      </c>
      <c r="B450" s="2" t="s">
        <v>1189</v>
      </c>
      <c r="C450" s="2" t="s">
        <v>1190</v>
      </c>
      <c r="D450" s="2"/>
    </row>
    <row r="451" spans="1:4" x14ac:dyDescent="0.25">
      <c r="A451" s="2" t="s">
        <v>1191</v>
      </c>
      <c r="B451" s="2" t="s">
        <v>1192</v>
      </c>
      <c r="C451" s="2" t="s">
        <v>1193</v>
      </c>
      <c r="D451" s="2"/>
    </row>
    <row r="452" spans="1:4" x14ac:dyDescent="0.25">
      <c r="A452" s="2" t="s">
        <v>1194</v>
      </c>
      <c r="B452" s="2" t="s">
        <v>1195</v>
      </c>
      <c r="C452" s="2" t="s">
        <v>1196</v>
      </c>
      <c r="D452" s="2"/>
    </row>
    <row r="453" spans="1:4" x14ac:dyDescent="0.25">
      <c r="A453" s="2" t="s">
        <v>1197</v>
      </c>
      <c r="B453" s="2" t="s">
        <v>1198</v>
      </c>
      <c r="C453" s="2" t="s">
        <v>1199</v>
      </c>
      <c r="D453" s="2"/>
    </row>
    <row r="454" spans="1:4" x14ac:dyDescent="0.25">
      <c r="A454" s="2" t="s">
        <v>1200</v>
      </c>
      <c r="B454" s="2" t="s">
        <v>1201</v>
      </c>
      <c r="C454" s="2" t="s">
        <v>1202</v>
      </c>
      <c r="D454" s="2"/>
    </row>
    <row r="455" spans="1:4" x14ac:dyDescent="0.25">
      <c r="A455" s="2" t="s">
        <v>1203</v>
      </c>
      <c r="B455" s="2" t="s">
        <v>1204</v>
      </c>
      <c r="C455" s="2" t="s">
        <v>1205</v>
      </c>
      <c r="D455" s="2"/>
    </row>
    <row r="456" spans="1:4" x14ac:dyDescent="0.25">
      <c r="A456" s="2" t="s">
        <v>1206</v>
      </c>
      <c r="B456" s="2" t="s">
        <v>1207</v>
      </c>
      <c r="C456" s="2" t="s">
        <v>1208</v>
      </c>
      <c r="D456" s="2"/>
    </row>
    <row r="457" spans="1:4" x14ac:dyDescent="0.25">
      <c r="A457" s="2" t="s">
        <v>1209</v>
      </c>
      <c r="B457" s="2" t="s">
        <v>1210</v>
      </c>
      <c r="C457" s="2" t="s">
        <v>1211</v>
      </c>
      <c r="D457" s="2"/>
    </row>
    <row r="458" spans="1:4" x14ac:dyDescent="0.25">
      <c r="A458" s="2" t="s">
        <v>1212</v>
      </c>
      <c r="B458" s="2" t="s">
        <v>1213</v>
      </c>
      <c r="C458" s="2" t="s">
        <v>1214</v>
      </c>
      <c r="D458" s="2"/>
    </row>
    <row r="459" spans="1:4" x14ac:dyDescent="0.25">
      <c r="A459" s="2" t="s">
        <v>1215</v>
      </c>
      <c r="B459" s="2" t="s">
        <v>1216</v>
      </c>
      <c r="C459" s="2" t="s">
        <v>1217</v>
      </c>
      <c r="D459" s="2"/>
    </row>
    <row r="460" spans="1:4" x14ac:dyDescent="0.25">
      <c r="A460" s="2" t="s">
        <v>1218</v>
      </c>
      <c r="B460" s="2" t="s">
        <v>1219</v>
      </c>
      <c r="C460" s="2" t="s">
        <v>1220</v>
      </c>
      <c r="D460" s="2"/>
    </row>
    <row r="461" spans="1:4" x14ac:dyDescent="0.25">
      <c r="A461" s="2" t="s">
        <v>1149</v>
      </c>
      <c r="B461" s="2" t="s">
        <v>1221</v>
      </c>
      <c r="C461" s="2" t="s">
        <v>1222</v>
      </c>
      <c r="D461" s="2"/>
    </row>
    <row r="463" spans="1:4" x14ac:dyDescent="0.25">
      <c r="A463" s="16" t="s">
        <v>1223</v>
      </c>
      <c r="B463" s="17"/>
      <c r="C463" s="17"/>
      <c r="D463" s="17"/>
    </row>
    <row r="464" spans="1:4" x14ac:dyDescent="0.25">
      <c r="A464" s="2" t="s">
        <v>962</v>
      </c>
      <c r="B464" s="2" t="s">
        <v>307</v>
      </c>
      <c r="C464" s="2" t="s">
        <v>963</v>
      </c>
      <c r="D464" s="2"/>
    </row>
    <row r="465" spans="1:4" x14ac:dyDescent="0.25">
      <c r="A465" s="2" t="s">
        <v>1224</v>
      </c>
      <c r="B465" s="2" t="s">
        <v>1224</v>
      </c>
      <c r="C465" s="2" t="s">
        <v>1225</v>
      </c>
      <c r="D465" s="2"/>
    </row>
    <row r="466" spans="1:4" x14ac:dyDescent="0.25">
      <c r="A466" s="2" t="s">
        <v>1226</v>
      </c>
      <c r="B466" s="2" t="s">
        <v>1227</v>
      </c>
      <c r="C466" s="2" t="s">
        <v>1228</v>
      </c>
      <c r="D466" s="2"/>
    </row>
    <row r="467" spans="1:4" x14ac:dyDescent="0.25">
      <c r="A467" s="2" t="s">
        <v>1229</v>
      </c>
      <c r="B467" s="2" t="s">
        <v>1230</v>
      </c>
      <c r="C467" s="2" t="s">
        <v>1231</v>
      </c>
      <c r="D467" s="2"/>
    </row>
    <row r="468" spans="1:4" x14ac:dyDescent="0.25">
      <c r="A468" s="2" t="s">
        <v>1232</v>
      </c>
      <c r="B468" s="2" t="s">
        <v>1233</v>
      </c>
      <c r="C468" s="2" t="s">
        <v>1234</v>
      </c>
      <c r="D468" s="2"/>
    </row>
    <row r="469" spans="1:4" x14ac:dyDescent="0.25">
      <c r="A469" s="2" t="s">
        <v>1235</v>
      </c>
      <c r="B469" s="2" t="s">
        <v>1236</v>
      </c>
      <c r="C469" s="2" t="s">
        <v>1237</v>
      </c>
      <c r="D469" s="2"/>
    </row>
    <row r="470" spans="1:4" x14ac:dyDescent="0.25">
      <c r="A470" s="2" t="s">
        <v>1238</v>
      </c>
      <c r="B470" s="2" t="s">
        <v>1238</v>
      </c>
      <c r="C470" s="2" t="s">
        <v>1239</v>
      </c>
      <c r="D470" s="2"/>
    </row>
    <row r="471" spans="1:4" x14ac:dyDescent="0.25">
      <c r="A471" s="2" t="s">
        <v>1240</v>
      </c>
      <c r="B471" s="2" t="s">
        <v>1240</v>
      </c>
      <c r="C471" s="2" t="s">
        <v>1241</v>
      </c>
      <c r="D471" s="2"/>
    </row>
    <row r="472" spans="1:4" x14ac:dyDescent="0.25">
      <c r="A472" s="2" t="s">
        <v>1242</v>
      </c>
      <c r="B472" s="2" t="s">
        <v>1242</v>
      </c>
      <c r="C472" s="2" t="s">
        <v>1243</v>
      </c>
      <c r="D472" s="2"/>
    </row>
    <row r="474" spans="1:4" x14ac:dyDescent="0.25">
      <c r="A474" s="16" t="s">
        <v>1244</v>
      </c>
      <c r="B474" s="17"/>
      <c r="C474" s="17"/>
      <c r="D474" s="17"/>
    </row>
    <row r="475" spans="1:4" x14ac:dyDescent="0.25">
      <c r="A475" s="2" t="s">
        <v>1245</v>
      </c>
      <c r="B475" s="2" t="s">
        <v>346</v>
      </c>
      <c r="C475" s="2" t="s">
        <v>1246</v>
      </c>
      <c r="D475" s="2"/>
    </row>
    <row r="476" spans="1:4" x14ac:dyDescent="0.25">
      <c r="A476" s="2" t="s">
        <v>439</v>
      </c>
      <c r="B476" s="2" t="s">
        <v>1247</v>
      </c>
      <c r="C476" s="2" t="s">
        <v>1248</v>
      </c>
      <c r="D476" s="2"/>
    </row>
    <row r="477" spans="1:4" x14ac:dyDescent="0.25">
      <c r="A477" s="2" t="s">
        <v>1249</v>
      </c>
      <c r="B477" s="2" t="s">
        <v>1250</v>
      </c>
      <c r="C477" s="2" t="s">
        <v>1251</v>
      </c>
      <c r="D477" s="2"/>
    </row>
    <row r="478" spans="1:4" x14ac:dyDescent="0.25">
      <c r="A478" s="2" t="s">
        <v>1252</v>
      </c>
      <c r="B478" s="2" t="s">
        <v>1253</v>
      </c>
      <c r="C478" s="2" t="s">
        <v>1254</v>
      </c>
      <c r="D478" s="2"/>
    </row>
    <row r="479" spans="1:4" x14ac:dyDescent="0.25">
      <c r="A479" s="2" t="s">
        <v>1255</v>
      </c>
      <c r="B479" s="2" t="s">
        <v>1256</v>
      </c>
      <c r="C479" s="2" t="s">
        <v>1257</v>
      </c>
      <c r="D479" s="2"/>
    </row>
    <row r="480" spans="1:4" x14ac:dyDescent="0.25">
      <c r="A480" s="2" t="s">
        <v>1258</v>
      </c>
      <c r="B480" s="2" t="s">
        <v>1259</v>
      </c>
      <c r="C480" s="2" t="s">
        <v>1260</v>
      </c>
      <c r="D480" s="2"/>
    </row>
    <row r="481" spans="1:8" x14ac:dyDescent="0.25">
      <c r="A481" s="2" t="s">
        <v>436</v>
      </c>
      <c r="B481" s="2" t="s">
        <v>1261</v>
      </c>
      <c r="C481" s="2" t="s">
        <v>1262</v>
      </c>
      <c r="D481" s="2"/>
    </row>
    <row r="482" spans="1:8" x14ac:dyDescent="0.25">
      <c r="A482" s="2" t="s">
        <v>1263</v>
      </c>
      <c r="B482" s="2" t="s">
        <v>1264</v>
      </c>
      <c r="C482" s="2" t="s">
        <v>1265</v>
      </c>
      <c r="D482" s="2"/>
    </row>
    <row r="483" spans="1:8" x14ac:dyDescent="0.25">
      <c r="A483" s="2" t="s">
        <v>1266</v>
      </c>
      <c r="B483" s="2" t="s">
        <v>1267</v>
      </c>
      <c r="C483" s="2" t="s">
        <v>1268</v>
      </c>
      <c r="D483" s="2"/>
    </row>
    <row r="484" spans="1:8" x14ac:dyDescent="0.25">
      <c r="A484" s="2" t="s">
        <v>1269</v>
      </c>
      <c r="B484" s="2" t="s">
        <v>1270</v>
      </c>
      <c r="C484" s="2" t="s">
        <v>1271</v>
      </c>
      <c r="D484" s="2"/>
    </row>
    <row r="485" spans="1:8" x14ac:dyDescent="0.25">
      <c r="A485" s="2" t="s">
        <v>1272</v>
      </c>
      <c r="B485" s="2" t="s">
        <v>1273</v>
      </c>
      <c r="C485" s="2" t="s">
        <v>1274</v>
      </c>
      <c r="D485" s="2"/>
    </row>
    <row r="486" spans="1:8" x14ac:dyDescent="0.25">
      <c r="A486" s="2" t="s">
        <v>1275</v>
      </c>
      <c r="B486" s="2" t="s">
        <v>1276</v>
      </c>
      <c r="C486" s="2" t="s">
        <v>1277</v>
      </c>
      <c r="D486" s="2"/>
    </row>
    <row r="488" spans="1:8" x14ac:dyDescent="0.25">
      <c r="A488" s="16" t="s">
        <v>1278</v>
      </c>
      <c r="B488" s="17"/>
      <c r="C488" s="17"/>
      <c r="D488" s="17"/>
      <c r="E488" s="17"/>
      <c r="F488" s="17"/>
      <c r="G488" s="17"/>
      <c r="H488" s="17"/>
    </row>
    <row r="489" spans="1:8" x14ac:dyDescent="0.25">
      <c r="A489" s="2" t="s">
        <v>1279</v>
      </c>
      <c r="B489" s="2" t="s">
        <v>1280</v>
      </c>
      <c r="C489" s="2" t="s">
        <v>1246</v>
      </c>
      <c r="D489" s="2"/>
    </row>
    <row r="490" spans="1:8" x14ac:dyDescent="0.25">
      <c r="A490" s="2" t="s">
        <v>1281</v>
      </c>
      <c r="B490" s="2" t="s">
        <v>1282</v>
      </c>
      <c r="C490" s="2" t="s">
        <v>1283</v>
      </c>
      <c r="D490" s="2"/>
    </row>
    <row r="491" spans="1:8" x14ac:dyDescent="0.25">
      <c r="A491" s="2" t="s">
        <v>616</v>
      </c>
      <c r="B491" s="2" t="s">
        <v>1284</v>
      </c>
      <c r="C491" s="2" t="s">
        <v>1285</v>
      </c>
      <c r="D491" s="2"/>
    </row>
    <row r="492" spans="1:8" x14ac:dyDescent="0.25">
      <c r="A492" s="2" t="s">
        <v>1286</v>
      </c>
      <c r="B492" s="2" t="s">
        <v>1287</v>
      </c>
      <c r="C492" s="2" t="s">
        <v>1288</v>
      </c>
      <c r="D492" s="2"/>
    </row>
    <row r="493" spans="1:8" x14ac:dyDescent="0.25">
      <c r="A493" s="2" t="s">
        <v>1289</v>
      </c>
      <c r="B493" s="2" t="s">
        <v>1290</v>
      </c>
      <c r="C493" s="2" t="s">
        <v>1291</v>
      </c>
      <c r="D493" s="2"/>
    </row>
    <row r="494" spans="1:8" x14ac:dyDescent="0.25">
      <c r="A494" s="2"/>
      <c r="B494" s="2"/>
      <c r="C494" s="2"/>
      <c r="D494" s="2"/>
    </row>
    <row r="495" spans="1:8" x14ac:dyDescent="0.25">
      <c r="A495" s="2"/>
      <c r="B495" s="2"/>
      <c r="C495" s="2"/>
      <c r="D495" s="2"/>
    </row>
    <row r="496" spans="1:8" x14ac:dyDescent="0.25">
      <c r="A496" s="2"/>
      <c r="B496" s="2"/>
      <c r="C496" s="2"/>
      <c r="D496" s="2"/>
    </row>
    <row r="497" spans="1:6" x14ac:dyDescent="0.25">
      <c r="A497" s="2"/>
      <c r="B497" s="2"/>
      <c r="C497" s="2"/>
      <c r="D497" s="2"/>
    </row>
    <row r="498" spans="1:6" x14ac:dyDescent="0.25">
      <c r="A498" s="2"/>
      <c r="B498" s="2"/>
      <c r="C498" s="2"/>
      <c r="D498" s="2"/>
    </row>
    <row r="499" spans="1:6" x14ac:dyDescent="0.25">
      <c r="A499" s="2"/>
      <c r="B499" s="2"/>
      <c r="C499" s="2"/>
      <c r="D499" s="2"/>
    </row>
    <row r="500" spans="1:6" x14ac:dyDescent="0.25">
      <c r="A500" s="2"/>
      <c r="B500" s="2"/>
      <c r="C500" s="2"/>
      <c r="D500" s="2"/>
    </row>
    <row r="501" spans="1:6" x14ac:dyDescent="0.25">
      <c r="A501" s="2"/>
      <c r="B501" s="2"/>
      <c r="C501" s="2"/>
      <c r="D501" s="2"/>
    </row>
    <row r="502" spans="1:6" x14ac:dyDescent="0.25">
      <c r="A502" s="2"/>
      <c r="B502" s="2"/>
      <c r="C502" s="2"/>
      <c r="D502" s="2"/>
    </row>
    <row r="503" spans="1:6" x14ac:dyDescent="0.25">
      <c r="A503" s="2"/>
      <c r="B503" s="2"/>
      <c r="C503" s="2"/>
      <c r="D503" s="2"/>
    </row>
    <row r="504" spans="1:6" x14ac:dyDescent="0.25">
      <c r="A504" s="2"/>
      <c r="B504" s="2"/>
      <c r="C504" s="2"/>
      <c r="D504" s="2"/>
    </row>
    <row r="505" spans="1:6" x14ac:dyDescent="0.25">
      <c r="A505" s="2"/>
      <c r="B505" s="2"/>
      <c r="C505" s="2"/>
      <c r="D505" s="2"/>
    </row>
    <row r="506" spans="1:6" x14ac:dyDescent="0.25">
      <c r="A506" s="2"/>
      <c r="B506" s="2"/>
      <c r="C506" s="2"/>
      <c r="D506" s="2"/>
    </row>
    <row r="507" spans="1:6" x14ac:dyDescent="0.25">
      <c r="A507" s="2"/>
      <c r="B507" s="2"/>
      <c r="C507" s="2"/>
      <c r="D507" s="2"/>
    </row>
    <row r="508" spans="1:6" x14ac:dyDescent="0.25">
      <c r="A508" s="2"/>
      <c r="B508" s="2"/>
      <c r="C508" s="2"/>
      <c r="D508" s="2"/>
    </row>
    <row r="511" spans="1:6" ht="18.75" customHeight="1" x14ac:dyDescent="0.3">
      <c r="A511" s="18" t="s">
        <v>1292</v>
      </c>
      <c r="B511" s="17"/>
      <c r="C511" s="17"/>
      <c r="D511" s="17"/>
      <c r="E511" s="17"/>
      <c r="F511" s="17"/>
    </row>
    <row r="513" spans="1:6" x14ac:dyDescent="0.25">
      <c r="A513" s="16" t="s">
        <v>1293</v>
      </c>
      <c r="B513" s="17"/>
      <c r="C513" s="17"/>
      <c r="D513" s="17"/>
      <c r="E513" s="17"/>
      <c r="F513" s="17"/>
    </row>
    <row r="514" spans="1:6" x14ac:dyDescent="0.25">
      <c r="A514" s="10" t="s">
        <v>492</v>
      </c>
      <c r="B514" s="10" t="s">
        <v>457</v>
      </c>
      <c r="C514" s="10" t="s">
        <v>1294</v>
      </c>
      <c r="D514" s="10" t="s">
        <v>537</v>
      </c>
      <c r="E514" s="10" t="s">
        <v>1295</v>
      </c>
      <c r="F514" s="10" t="s">
        <v>540</v>
      </c>
    </row>
    <row r="515" spans="1:6" x14ac:dyDescent="0.25">
      <c r="A515" s="12">
        <v>1</v>
      </c>
      <c r="B515" s="2" t="s">
        <v>590</v>
      </c>
      <c r="C515" s="2" t="s">
        <v>1296</v>
      </c>
      <c r="D515" s="2" t="s">
        <v>1297</v>
      </c>
      <c r="E515" s="2" t="s">
        <v>1298</v>
      </c>
      <c r="F515" s="2" t="s">
        <v>1299</v>
      </c>
    </row>
    <row r="516" spans="1:6" x14ac:dyDescent="0.25">
      <c r="A516" s="12">
        <v>2</v>
      </c>
      <c r="B516" s="2" t="s">
        <v>1300</v>
      </c>
      <c r="C516" s="2" t="s">
        <v>1296</v>
      </c>
      <c r="D516" s="2" t="s">
        <v>1301</v>
      </c>
      <c r="E516" s="2" t="s">
        <v>1298</v>
      </c>
      <c r="F516" s="2" t="s">
        <v>1299</v>
      </c>
    </row>
    <row r="517" spans="1:6" x14ac:dyDescent="0.25">
      <c r="A517" s="12">
        <v>3</v>
      </c>
      <c r="B517" s="2" t="s">
        <v>501</v>
      </c>
      <c r="C517" s="2" t="s">
        <v>1296</v>
      </c>
      <c r="D517" s="2" t="s">
        <v>1154</v>
      </c>
      <c r="E517" s="2" t="s">
        <v>1298</v>
      </c>
      <c r="F517" s="2" t="s">
        <v>1299</v>
      </c>
    </row>
    <row r="518" spans="1:6" x14ac:dyDescent="0.25">
      <c r="A518" s="12">
        <v>5</v>
      </c>
      <c r="B518" s="2" t="s">
        <v>467</v>
      </c>
      <c r="C518" s="2" t="s">
        <v>1296</v>
      </c>
      <c r="D518" s="2" t="s">
        <v>1156</v>
      </c>
      <c r="E518" s="2" t="s">
        <v>1298</v>
      </c>
      <c r="F518" s="2" t="s">
        <v>1299</v>
      </c>
    </row>
    <row r="519" spans="1:6" x14ac:dyDescent="0.25">
      <c r="A519" s="12">
        <v>6</v>
      </c>
      <c r="B519" s="2" t="s">
        <v>1086</v>
      </c>
      <c r="C519" s="2" t="s">
        <v>1296</v>
      </c>
      <c r="D519" s="2" t="s">
        <v>1302</v>
      </c>
      <c r="E519" s="2" t="s">
        <v>1298</v>
      </c>
      <c r="F519" s="2" t="s">
        <v>1299</v>
      </c>
    </row>
    <row r="520" spans="1:6" x14ac:dyDescent="0.25">
      <c r="A520" s="12">
        <v>10</v>
      </c>
      <c r="B520" s="2" t="s">
        <v>1303</v>
      </c>
      <c r="C520" s="2" t="s">
        <v>1296</v>
      </c>
      <c r="D520" s="2" t="s">
        <v>1156</v>
      </c>
      <c r="E520" s="2" t="s">
        <v>1298</v>
      </c>
      <c r="F520" s="2" t="s">
        <v>1299</v>
      </c>
    </row>
    <row r="521" spans="1:6" x14ac:dyDescent="0.25">
      <c r="A521" s="12">
        <v>13</v>
      </c>
      <c r="B521" s="2" t="s">
        <v>1304</v>
      </c>
      <c r="C521" s="2" t="s">
        <v>1296</v>
      </c>
      <c r="D521" s="2" t="s">
        <v>1305</v>
      </c>
      <c r="E521" s="2" t="s">
        <v>1298</v>
      </c>
      <c r="F521" s="2" t="s">
        <v>1306</v>
      </c>
    </row>
    <row r="522" spans="1:6" x14ac:dyDescent="0.25">
      <c r="A522" s="12">
        <v>15</v>
      </c>
      <c r="B522" s="2" t="s">
        <v>504</v>
      </c>
      <c r="C522" s="2" t="s">
        <v>1296</v>
      </c>
      <c r="D522" s="2" t="s">
        <v>1156</v>
      </c>
      <c r="E522" s="2" t="s">
        <v>1298</v>
      </c>
      <c r="F522" s="2" t="s">
        <v>1299</v>
      </c>
    </row>
    <row r="523" spans="1:6" x14ac:dyDescent="0.25">
      <c r="A523" s="12">
        <v>16</v>
      </c>
      <c r="B523" s="2" t="s">
        <v>1307</v>
      </c>
      <c r="C523" s="2" t="s">
        <v>1296</v>
      </c>
      <c r="D523" s="2" t="s">
        <v>1156</v>
      </c>
      <c r="E523" s="2" t="s">
        <v>1298</v>
      </c>
      <c r="F523" s="2" t="s">
        <v>1299</v>
      </c>
    </row>
    <row r="524" spans="1:6" x14ac:dyDescent="0.25">
      <c r="A524" s="12">
        <v>20</v>
      </c>
      <c r="B524" s="2" t="s">
        <v>1308</v>
      </c>
      <c r="C524" s="2" t="s">
        <v>1296</v>
      </c>
      <c r="D524" s="2" t="s">
        <v>1156</v>
      </c>
      <c r="E524" s="2" t="s">
        <v>1309</v>
      </c>
      <c r="F524" s="2" t="s">
        <v>1299</v>
      </c>
    </row>
    <row r="525" spans="1:6" x14ac:dyDescent="0.25">
      <c r="A525" s="12">
        <v>25</v>
      </c>
      <c r="B525" s="2" t="s">
        <v>1310</v>
      </c>
      <c r="C525" s="2" t="s">
        <v>1296</v>
      </c>
      <c r="D525" s="2" t="s">
        <v>512</v>
      </c>
      <c r="E525" s="2" t="s">
        <v>1309</v>
      </c>
      <c r="F525" s="2" t="s">
        <v>1299</v>
      </c>
    </row>
    <row r="526" spans="1:6" x14ac:dyDescent="0.25">
      <c r="A526" s="12">
        <v>32</v>
      </c>
      <c r="B526" s="2" t="s">
        <v>1063</v>
      </c>
      <c r="C526" s="2" t="s">
        <v>1296</v>
      </c>
      <c r="D526" s="2" t="s">
        <v>512</v>
      </c>
      <c r="E526" s="2" t="s">
        <v>1309</v>
      </c>
      <c r="F526" s="2" t="s">
        <v>1299</v>
      </c>
    </row>
    <row r="527" spans="1:6" x14ac:dyDescent="0.25">
      <c r="A527" s="12">
        <v>40</v>
      </c>
      <c r="B527" s="2" t="s">
        <v>509</v>
      </c>
      <c r="C527" s="2" t="s">
        <v>1296</v>
      </c>
      <c r="D527" s="2" t="s">
        <v>512</v>
      </c>
      <c r="E527" s="2" t="s">
        <v>1311</v>
      </c>
      <c r="F527" s="2" t="s">
        <v>1299</v>
      </c>
    </row>
    <row r="528" spans="1:6" x14ac:dyDescent="0.25">
      <c r="A528" s="12">
        <v>50</v>
      </c>
      <c r="B528" s="2" t="s">
        <v>512</v>
      </c>
      <c r="C528" s="2" t="s">
        <v>1296</v>
      </c>
      <c r="D528" s="2" t="s">
        <v>1312</v>
      </c>
      <c r="E528" s="2" t="s">
        <v>1311</v>
      </c>
      <c r="F528" s="2" t="s">
        <v>1299</v>
      </c>
    </row>
    <row r="529" spans="1:6" x14ac:dyDescent="0.25">
      <c r="A529" s="12">
        <v>63</v>
      </c>
      <c r="B529" s="2" t="s">
        <v>1101</v>
      </c>
      <c r="C529" s="2" t="s">
        <v>1296</v>
      </c>
      <c r="D529" s="2" t="s">
        <v>1313</v>
      </c>
      <c r="E529" s="2" t="s">
        <v>1311</v>
      </c>
      <c r="F529" s="2" t="s">
        <v>1299</v>
      </c>
    </row>
    <row r="530" spans="1:6" x14ac:dyDescent="0.25">
      <c r="A530" s="12">
        <v>80</v>
      </c>
      <c r="B530" s="2" t="s">
        <v>152</v>
      </c>
      <c r="C530" s="2" t="s">
        <v>1296</v>
      </c>
      <c r="D530" s="2" t="s">
        <v>1313</v>
      </c>
      <c r="E530" s="2" t="s">
        <v>1314</v>
      </c>
      <c r="F530" s="2" t="s">
        <v>1299</v>
      </c>
    </row>
    <row r="531" spans="1:6" x14ac:dyDescent="0.25">
      <c r="A531" s="12">
        <v>90</v>
      </c>
      <c r="B531" s="2" t="s">
        <v>162</v>
      </c>
      <c r="C531" s="2" t="s">
        <v>1296</v>
      </c>
      <c r="D531" s="2" t="s">
        <v>1315</v>
      </c>
      <c r="E531" s="2" t="s">
        <v>1314</v>
      </c>
      <c r="F531" s="2" t="s">
        <v>1299</v>
      </c>
    </row>
    <row r="533" spans="1:6" x14ac:dyDescent="0.25">
      <c r="A533" s="16" t="s">
        <v>1316</v>
      </c>
      <c r="B533" s="17"/>
      <c r="C533" s="17"/>
      <c r="D533" s="17"/>
      <c r="E533" s="17"/>
      <c r="F533" s="17"/>
    </row>
    <row r="534" spans="1:6" x14ac:dyDescent="0.25">
      <c r="A534" s="10" t="s">
        <v>1317</v>
      </c>
      <c r="B534" s="10" t="s">
        <v>1318</v>
      </c>
      <c r="C534" s="10" t="s">
        <v>1319</v>
      </c>
      <c r="D534" s="10" t="s">
        <v>1320</v>
      </c>
      <c r="E534" s="10" t="s">
        <v>457</v>
      </c>
      <c r="F534" s="10" t="s">
        <v>1321</v>
      </c>
    </row>
    <row r="535" spans="1:6" x14ac:dyDescent="0.25">
      <c r="A535" s="2" t="s">
        <v>1322</v>
      </c>
      <c r="B535" s="2" t="s">
        <v>1323</v>
      </c>
      <c r="C535" s="2" t="s">
        <v>1324</v>
      </c>
      <c r="D535" s="2" t="s">
        <v>1325</v>
      </c>
      <c r="E535" s="2" t="s">
        <v>1326</v>
      </c>
      <c r="F535" s="2" t="s">
        <v>1327</v>
      </c>
    </row>
    <row r="536" spans="1:6" x14ac:dyDescent="0.25">
      <c r="A536" s="2" t="s">
        <v>1328</v>
      </c>
      <c r="B536" s="2" t="s">
        <v>1322</v>
      </c>
      <c r="C536" s="2" t="s">
        <v>1324</v>
      </c>
      <c r="D536" s="2" t="s">
        <v>1329</v>
      </c>
      <c r="E536" s="2" t="s">
        <v>501</v>
      </c>
      <c r="F536" s="2" t="s">
        <v>1327</v>
      </c>
    </row>
    <row r="537" spans="1:6" x14ac:dyDescent="0.25">
      <c r="A537" s="2" t="s">
        <v>1330</v>
      </c>
      <c r="B537" s="2" t="s">
        <v>1331</v>
      </c>
      <c r="C537" s="2" t="s">
        <v>1324</v>
      </c>
      <c r="D537" s="2" t="s">
        <v>1332</v>
      </c>
      <c r="E537" s="2" t="s">
        <v>504</v>
      </c>
      <c r="F537" s="2" t="s">
        <v>1327</v>
      </c>
    </row>
    <row r="538" spans="1:6" x14ac:dyDescent="0.25">
      <c r="A538" s="2" t="s">
        <v>1333</v>
      </c>
      <c r="B538" s="2" t="s">
        <v>1334</v>
      </c>
      <c r="C538" s="2" t="s">
        <v>1324</v>
      </c>
      <c r="D538" s="2" t="s">
        <v>1335</v>
      </c>
      <c r="E538" s="2" t="s">
        <v>1336</v>
      </c>
      <c r="F538" s="2" t="s">
        <v>1327</v>
      </c>
    </row>
    <row r="539" spans="1:6" x14ac:dyDescent="0.25">
      <c r="A539" s="2" t="s">
        <v>1337</v>
      </c>
      <c r="B539" s="2" t="s">
        <v>1338</v>
      </c>
      <c r="C539" s="2" t="s">
        <v>1324</v>
      </c>
      <c r="D539" s="2" t="s">
        <v>1339</v>
      </c>
      <c r="E539" s="2" t="s">
        <v>1340</v>
      </c>
      <c r="F539" s="2" t="s">
        <v>1327</v>
      </c>
    </row>
    <row r="540" spans="1:6" x14ac:dyDescent="0.25">
      <c r="A540" s="2" t="s">
        <v>1341</v>
      </c>
      <c r="B540" s="2" t="s">
        <v>1342</v>
      </c>
      <c r="C540" s="2" t="s">
        <v>1324</v>
      </c>
      <c r="D540" s="2" t="s">
        <v>1343</v>
      </c>
      <c r="E540" s="2" t="s">
        <v>509</v>
      </c>
      <c r="F540" s="2" t="s">
        <v>1327</v>
      </c>
    </row>
    <row r="541" spans="1:6" x14ac:dyDescent="0.25">
      <c r="A541" s="2" t="s">
        <v>1344</v>
      </c>
      <c r="B541" s="2" t="s">
        <v>1345</v>
      </c>
      <c r="C541" s="2" t="s">
        <v>1324</v>
      </c>
      <c r="D541" s="2" t="s">
        <v>1346</v>
      </c>
      <c r="E541" s="2" t="s">
        <v>1101</v>
      </c>
      <c r="F541" s="2" t="s">
        <v>1327</v>
      </c>
    </row>
    <row r="542" spans="1:6" x14ac:dyDescent="0.25">
      <c r="A542" s="2" t="s">
        <v>1347</v>
      </c>
      <c r="B542" s="2" t="s">
        <v>1348</v>
      </c>
      <c r="C542" s="2" t="s">
        <v>1324</v>
      </c>
      <c r="D542" s="2" t="s">
        <v>1349</v>
      </c>
      <c r="E542" s="2" t="s">
        <v>152</v>
      </c>
      <c r="F542" s="2" t="s">
        <v>1327</v>
      </c>
    </row>
    <row r="543" spans="1:6" x14ac:dyDescent="0.25">
      <c r="A543" s="2" t="s">
        <v>1350</v>
      </c>
      <c r="B543" s="2" t="s">
        <v>1351</v>
      </c>
      <c r="C543" s="2" t="s">
        <v>1324</v>
      </c>
      <c r="D543" s="2" t="s">
        <v>1352</v>
      </c>
      <c r="E543" s="2" t="s">
        <v>146</v>
      </c>
      <c r="F543" s="2" t="s">
        <v>1327</v>
      </c>
    </row>
    <row r="544" spans="1:6" x14ac:dyDescent="0.25">
      <c r="A544" s="2" t="s">
        <v>1353</v>
      </c>
      <c r="B544" s="2" t="s">
        <v>1350</v>
      </c>
      <c r="C544" s="2" t="s">
        <v>1324</v>
      </c>
      <c r="D544" s="2" t="s">
        <v>1354</v>
      </c>
      <c r="E544" s="2" t="s">
        <v>162</v>
      </c>
      <c r="F544" s="2" t="s">
        <v>1327</v>
      </c>
    </row>
    <row r="546" spans="1:6" x14ac:dyDescent="0.25">
      <c r="A546" s="16" t="s">
        <v>1355</v>
      </c>
      <c r="B546" s="17"/>
      <c r="C546" s="17"/>
      <c r="D546" s="17"/>
      <c r="E546" s="17"/>
      <c r="F546" s="17"/>
    </row>
    <row r="547" spans="1:6" x14ac:dyDescent="0.25">
      <c r="A547" s="10" t="s">
        <v>1356</v>
      </c>
      <c r="B547" s="10" t="s">
        <v>1357</v>
      </c>
      <c r="C547" s="10" t="s">
        <v>1358</v>
      </c>
      <c r="D547" s="10" t="s">
        <v>1359</v>
      </c>
      <c r="E547" s="10" t="s">
        <v>1360</v>
      </c>
      <c r="F547" s="10" t="s">
        <v>540</v>
      </c>
    </row>
    <row r="548" spans="1:6" x14ac:dyDescent="0.25">
      <c r="A548" s="2" t="s">
        <v>1361</v>
      </c>
      <c r="B548" s="2" t="s">
        <v>1362</v>
      </c>
      <c r="C548" s="2" t="s">
        <v>1363</v>
      </c>
      <c r="D548" s="2" t="s">
        <v>1364</v>
      </c>
      <c r="E548" s="2" t="s">
        <v>1365</v>
      </c>
      <c r="F548" s="2" t="s">
        <v>1366</v>
      </c>
    </row>
    <row r="549" spans="1:6" x14ac:dyDescent="0.25">
      <c r="A549" s="2" t="s">
        <v>1367</v>
      </c>
      <c r="B549" s="2" t="s">
        <v>1368</v>
      </c>
      <c r="C549" s="2" t="s">
        <v>1369</v>
      </c>
      <c r="D549" s="2" t="s">
        <v>1370</v>
      </c>
      <c r="E549" s="2" t="s">
        <v>1371</v>
      </c>
      <c r="F549" s="2" t="s">
        <v>1366</v>
      </c>
    </row>
    <row r="550" spans="1:6" x14ac:dyDescent="0.25">
      <c r="A550" s="2" t="s">
        <v>1372</v>
      </c>
      <c r="B550" s="2" t="s">
        <v>1373</v>
      </c>
      <c r="C550" s="2" t="s">
        <v>1374</v>
      </c>
      <c r="D550" s="2" t="s">
        <v>1375</v>
      </c>
      <c r="E550" s="2" t="s">
        <v>1376</v>
      </c>
      <c r="F550" s="2" t="s">
        <v>1366</v>
      </c>
    </row>
    <row r="551" spans="1:6" x14ac:dyDescent="0.25">
      <c r="A551" s="2" t="s">
        <v>1377</v>
      </c>
      <c r="B551" s="2" t="s">
        <v>1378</v>
      </c>
      <c r="C551" s="2" t="s">
        <v>1379</v>
      </c>
      <c r="D551" s="2" t="s">
        <v>1380</v>
      </c>
      <c r="E551" s="2" t="s">
        <v>1381</v>
      </c>
      <c r="F551" s="2" t="s">
        <v>1366</v>
      </c>
    </row>
    <row r="552" spans="1:6" x14ac:dyDescent="0.25">
      <c r="A552" s="2" t="s">
        <v>1382</v>
      </c>
      <c r="B552" s="2" t="s">
        <v>1383</v>
      </c>
      <c r="C552" s="2" t="s">
        <v>1384</v>
      </c>
      <c r="D552" s="2" t="s">
        <v>1385</v>
      </c>
      <c r="E552" s="2" t="s">
        <v>1386</v>
      </c>
      <c r="F552" s="2" t="s">
        <v>1366</v>
      </c>
    </row>
    <row r="553" spans="1:6" x14ac:dyDescent="0.25">
      <c r="A553" s="2" t="s">
        <v>1387</v>
      </c>
      <c r="B553" s="2" t="s">
        <v>1388</v>
      </c>
      <c r="C553" s="2" t="s">
        <v>1389</v>
      </c>
      <c r="D553" s="2" t="s">
        <v>1390</v>
      </c>
      <c r="E553" s="2" t="s">
        <v>1391</v>
      </c>
      <c r="F553" s="2" t="s">
        <v>1366</v>
      </c>
    </row>
    <row r="554" spans="1:6" x14ac:dyDescent="0.25">
      <c r="A554" s="2" t="s">
        <v>1392</v>
      </c>
      <c r="B554" s="2" t="s">
        <v>1393</v>
      </c>
      <c r="C554" s="2" t="s">
        <v>1384</v>
      </c>
      <c r="D554" s="2" t="s">
        <v>1385</v>
      </c>
      <c r="E554" s="2" t="s">
        <v>1394</v>
      </c>
      <c r="F554" s="2" t="s">
        <v>1366</v>
      </c>
    </row>
    <row r="555" spans="1:6" x14ac:dyDescent="0.25">
      <c r="A555" s="2" t="s">
        <v>1395</v>
      </c>
      <c r="B555" s="2" t="s">
        <v>1396</v>
      </c>
      <c r="C555" s="2" t="s">
        <v>1397</v>
      </c>
      <c r="D555" s="2" t="s">
        <v>1398</v>
      </c>
      <c r="E555" s="2" t="s">
        <v>1399</v>
      </c>
      <c r="F555" s="2" t="s">
        <v>580</v>
      </c>
    </row>
    <row r="556" spans="1:6" x14ac:dyDescent="0.25">
      <c r="A556" s="2" t="s">
        <v>1400</v>
      </c>
      <c r="B556" s="2" t="s">
        <v>1401</v>
      </c>
      <c r="C556" s="2" t="s">
        <v>1402</v>
      </c>
      <c r="D556" s="2" t="s">
        <v>1398</v>
      </c>
      <c r="E556" s="2" t="s">
        <v>1403</v>
      </c>
      <c r="F556" s="2" t="s">
        <v>580</v>
      </c>
    </row>
    <row r="557" spans="1:6" x14ac:dyDescent="0.25">
      <c r="A557" s="2" t="s">
        <v>1404</v>
      </c>
      <c r="B557" s="2" t="s">
        <v>1405</v>
      </c>
      <c r="C557" s="2" t="s">
        <v>1406</v>
      </c>
      <c r="D557" s="2" t="s">
        <v>1398</v>
      </c>
      <c r="E557" s="2" t="s">
        <v>1403</v>
      </c>
      <c r="F557" s="2" t="s">
        <v>580</v>
      </c>
    </row>
    <row r="559" spans="1:6" x14ac:dyDescent="0.25">
      <c r="A559" s="16" t="s">
        <v>1407</v>
      </c>
      <c r="B559" s="17"/>
      <c r="C559" s="17"/>
      <c r="D559" s="17"/>
      <c r="E559" s="17"/>
      <c r="F559" s="17"/>
    </row>
    <row r="560" spans="1:6" x14ac:dyDescent="0.25">
      <c r="A560" s="10" t="s">
        <v>1408</v>
      </c>
      <c r="B560" s="10" t="s">
        <v>1357</v>
      </c>
      <c r="C560" s="10" t="s">
        <v>1409</v>
      </c>
      <c r="D560" s="10" t="s">
        <v>1410</v>
      </c>
      <c r="E560" s="10" t="s">
        <v>457</v>
      </c>
      <c r="F560" s="10" t="s">
        <v>540</v>
      </c>
    </row>
    <row r="561" spans="1:6" x14ac:dyDescent="0.25">
      <c r="A561" s="2" t="s">
        <v>1411</v>
      </c>
      <c r="B561" s="2" t="s">
        <v>1412</v>
      </c>
      <c r="C561" s="2" t="s">
        <v>1413</v>
      </c>
      <c r="D561" s="2" t="s">
        <v>1414</v>
      </c>
      <c r="E561" s="2" t="s">
        <v>1415</v>
      </c>
      <c r="F561" s="2" t="s">
        <v>1416</v>
      </c>
    </row>
    <row r="562" spans="1:6" x14ac:dyDescent="0.25">
      <c r="A562" s="2" t="s">
        <v>1417</v>
      </c>
      <c r="B562" s="2" t="s">
        <v>1418</v>
      </c>
      <c r="C562" s="2" t="s">
        <v>1419</v>
      </c>
      <c r="D562" s="2" t="s">
        <v>1414</v>
      </c>
      <c r="E562" s="2" t="s">
        <v>1420</v>
      </c>
      <c r="F562" s="2" t="s">
        <v>1416</v>
      </c>
    </row>
    <row r="563" spans="1:6" x14ac:dyDescent="0.25">
      <c r="A563" s="2" t="s">
        <v>1421</v>
      </c>
      <c r="B563" s="2" t="s">
        <v>1422</v>
      </c>
      <c r="C563" s="2" t="s">
        <v>1423</v>
      </c>
      <c r="D563" s="2" t="s">
        <v>1414</v>
      </c>
      <c r="E563" s="2" t="s">
        <v>1424</v>
      </c>
      <c r="F563" s="2" t="s">
        <v>1416</v>
      </c>
    </row>
    <row r="564" spans="1:6" x14ac:dyDescent="0.25">
      <c r="A564" s="2" t="s">
        <v>1425</v>
      </c>
      <c r="B564" s="2" t="s">
        <v>1426</v>
      </c>
      <c r="C564" s="2" t="s">
        <v>1427</v>
      </c>
      <c r="D564" s="2" t="s">
        <v>1414</v>
      </c>
      <c r="E564" s="2" t="s">
        <v>1428</v>
      </c>
      <c r="F564" s="2" t="s">
        <v>1416</v>
      </c>
    </row>
    <row r="565" spans="1:6" x14ac:dyDescent="0.25">
      <c r="A565" s="2" t="s">
        <v>1429</v>
      </c>
      <c r="B565" s="2" t="s">
        <v>1430</v>
      </c>
      <c r="C565" s="2" t="s">
        <v>1431</v>
      </c>
      <c r="D565" s="2" t="s">
        <v>1432</v>
      </c>
      <c r="E565" s="2" t="s">
        <v>1433</v>
      </c>
      <c r="F565" s="2" t="s">
        <v>1434</v>
      </c>
    </row>
    <row r="566" spans="1:6" x14ac:dyDescent="0.25">
      <c r="A566" s="2" t="s">
        <v>1435</v>
      </c>
      <c r="B566" s="2" t="s">
        <v>1436</v>
      </c>
      <c r="C566" s="2" t="s">
        <v>1437</v>
      </c>
      <c r="D566" s="2" t="s">
        <v>1438</v>
      </c>
      <c r="E566" s="2" t="s">
        <v>1439</v>
      </c>
      <c r="F566" s="2" t="s">
        <v>1440</v>
      </c>
    </row>
    <row r="567" spans="1:6" x14ac:dyDescent="0.25">
      <c r="A567" s="2" t="s">
        <v>1441</v>
      </c>
      <c r="B567" s="2" t="s">
        <v>1442</v>
      </c>
      <c r="C567" s="2" t="s">
        <v>1413</v>
      </c>
      <c r="D567" s="2" t="s">
        <v>1085</v>
      </c>
      <c r="E567" s="2" t="s">
        <v>1443</v>
      </c>
      <c r="F567" s="2" t="s">
        <v>1444</v>
      </c>
    </row>
    <row r="568" spans="1:6" x14ac:dyDescent="0.25">
      <c r="A568" s="2" t="s">
        <v>1445</v>
      </c>
      <c r="B568" s="2" t="s">
        <v>1446</v>
      </c>
      <c r="C568" s="2" t="s">
        <v>1413</v>
      </c>
      <c r="D568" s="2" t="s">
        <v>1084</v>
      </c>
      <c r="E568" s="2" t="s">
        <v>1447</v>
      </c>
      <c r="F568" s="2" t="s">
        <v>1448</v>
      </c>
    </row>
    <row r="569" spans="1:6" x14ac:dyDescent="0.25">
      <c r="A569" s="2" t="s">
        <v>1449</v>
      </c>
      <c r="B569" s="2" t="s">
        <v>1450</v>
      </c>
      <c r="C569" s="2" t="s">
        <v>1437</v>
      </c>
      <c r="D569" s="2" t="s">
        <v>1414</v>
      </c>
      <c r="E569" s="2" t="s">
        <v>1451</v>
      </c>
      <c r="F569" s="2" t="s">
        <v>1416</v>
      </c>
    </row>
    <row r="570" spans="1:6" x14ac:dyDescent="0.25">
      <c r="A570" s="2" t="s">
        <v>1452</v>
      </c>
      <c r="B570" s="2" t="s">
        <v>1453</v>
      </c>
      <c r="C570" s="2" t="s">
        <v>1437</v>
      </c>
      <c r="D570" s="2" t="s">
        <v>1414</v>
      </c>
      <c r="E570" s="2" t="s">
        <v>1454</v>
      </c>
      <c r="F570" s="2" t="s">
        <v>1416</v>
      </c>
    </row>
    <row r="571" spans="1:6" x14ac:dyDescent="0.25">
      <c r="A571" s="2" t="s">
        <v>1455</v>
      </c>
      <c r="B571" s="2" t="s">
        <v>1456</v>
      </c>
      <c r="C571" s="2" t="s">
        <v>1413</v>
      </c>
      <c r="D571" s="2" t="s">
        <v>1082</v>
      </c>
      <c r="E571" s="2" t="s">
        <v>1457</v>
      </c>
      <c r="F571" s="2" t="s">
        <v>1416</v>
      </c>
    </row>
    <row r="572" spans="1:6" x14ac:dyDescent="0.25">
      <c r="A572" s="2" t="s">
        <v>1458</v>
      </c>
      <c r="B572" s="2" t="s">
        <v>1459</v>
      </c>
      <c r="C572" s="2" t="s">
        <v>1413</v>
      </c>
      <c r="D572" s="2" t="s">
        <v>1084</v>
      </c>
      <c r="E572" s="2" t="s">
        <v>1460</v>
      </c>
      <c r="F572" s="2" t="s">
        <v>1416</v>
      </c>
    </row>
    <row r="574" spans="1:6" x14ac:dyDescent="0.25">
      <c r="A574" s="16" t="s">
        <v>1461</v>
      </c>
      <c r="B574" s="17"/>
      <c r="C574" s="17"/>
      <c r="D574" s="17"/>
      <c r="E574" s="17"/>
      <c r="F574" s="17"/>
    </row>
    <row r="575" spans="1:6" x14ac:dyDescent="0.25">
      <c r="A575" s="10" t="s">
        <v>1462</v>
      </c>
      <c r="B575" s="10" t="s">
        <v>1357</v>
      </c>
      <c r="C575" s="10" t="s">
        <v>1463</v>
      </c>
      <c r="D575" s="10" t="s">
        <v>457</v>
      </c>
      <c r="E575" s="10" t="s">
        <v>1464</v>
      </c>
      <c r="F575" s="10" t="s">
        <v>540</v>
      </c>
    </row>
    <row r="576" spans="1:6" x14ac:dyDescent="0.25">
      <c r="A576" s="2" t="s">
        <v>1465</v>
      </c>
      <c r="B576" s="2" t="s">
        <v>1466</v>
      </c>
      <c r="C576" s="2" t="s">
        <v>1467</v>
      </c>
      <c r="D576" s="2" t="s">
        <v>1468</v>
      </c>
      <c r="E576" s="2" t="s">
        <v>502</v>
      </c>
      <c r="F576" s="2" t="s">
        <v>1469</v>
      </c>
    </row>
    <row r="577" spans="1:7" x14ac:dyDescent="0.25">
      <c r="A577" s="2" t="s">
        <v>1470</v>
      </c>
      <c r="B577" s="2" t="s">
        <v>1471</v>
      </c>
      <c r="C577" s="2" t="s">
        <v>1472</v>
      </c>
      <c r="D577" s="2" t="s">
        <v>1473</v>
      </c>
      <c r="E577" s="2" t="s">
        <v>502</v>
      </c>
      <c r="F577" s="2" t="s">
        <v>1469</v>
      </c>
    </row>
    <row r="578" spans="1:7" x14ac:dyDescent="0.25">
      <c r="A578" s="2" t="s">
        <v>1474</v>
      </c>
      <c r="B578" s="2" t="s">
        <v>1475</v>
      </c>
      <c r="C578" s="2" t="s">
        <v>1476</v>
      </c>
      <c r="D578" s="2" t="s">
        <v>1477</v>
      </c>
      <c r="E578" s="2" t="s">
        <v>510</v>
      </c>
      <c r="F578" s="2" t="s">
        <v>1469</v>
      </c>
    </row>
    <row r="579" spans="1:7" x14ac:dyDescent="0.25">
      <c r="A579" s="2" t="s">
        <v>1478</v>
      </c>
      <c r="B579" s="2" t="s">
        <v>1479</v>
      </c>
      <c r="C579" s="2" t="s">
        <v>1480</v>
      </c>
      <c r="D579" s="2" t="s">
        <v>1481</v>
      </c>
      <c r="E579" s="2" t="s">
        <v>510</v>
      </c>
      <c r="F579" s="2" t="s">
        <v>1469</v>
      </c>
    </row>
    <row r="580" spans="1:7" x14ac:dyDescent="0.25">
      <c r="A580" s="2" t="s">
        <v>1482</v>
      </c>
      <c r="B580" s="2" t="s">
        <v>1483</v>
      </c>
      <c r="C580" s="2" t="s">
        <v>1480</v>
      </c>
      <c r="D580" s="2" t="s">
        <v>1484</v>
      </c>
      <c r="E580" s="2" t="s">
        <v>510</v>
      </c>
      <c r="F580" s="2" t="s">
        <v>1469</v>
      </c>
    </row>
    <row r="581" spans="1:7" x14ac:dyDescent="0.25">
      <c r="A581" s="2" t="s">
        <v>1485</v>
      </c>
      <c r="B581" s="2" t="s">
        <v>1486</v>
      </c>
      <c r="C581" s="2" t="s">
        <v>1472</v>
      </c>
      <c r="D581" s="2" t="s">
        <v>1487</v>
      </c>
      <c r="E581" s="2" t="s">
        <v>502</v>
      </c>
      <c r="F581" s="2" t="s">
        <v>1469</v>
      </c>
    </row>
    <row r="583" spans="1:7" ht="18.75" customHeight="1" x14ac:dyDescent="0.3">
      <c r="A583" s="18" t="s">
        <v>1488</v>
      </c>
      <c r="B583" s="17"/>
      <c r="C583" s="17"/>
      <c r="D583" s="17"/>
      <c r="E583" s="17"/>
      <c r="F583" s="17"/>
      <c r="G583" s="17"/>
    </row>
    <row r="585" spans="1:7" x14ac:dyDescent="0.25">
      <c r="A585" s="16" t="s">
        <v>1489</v>
      </c>
      <c r="B585" s="17"/>
      <c r="C585" s="17"/>
      <c r="D585" s="17"/>
      <c r="E585" s="17"/>
      <c r="F585" s="17"/>
      <c r="G585" s="17"/>
    </row>
    <row r="586" spans="1:7" x14ac:dyDescent="0.25">
      <c r="A586" s="10" t="s">
        <v>1490</v>
      </c>
      <c r="B586" s="10" t="s">
        <v>1491</v>
      </c>
      <c r="C586" s="10" t="s">
        <v>1357</v>
      </c>
      <c r="D586" s="10" t="s">
        <v>1492</v>
      </c>
      <c r="E586" s="10" t="s">
        <v>1493</v>
      </c>
      <c r="F586" s="10" t="s">
        <v>457</v>
      </c>
      <c r="G586" s="10" t="s">
        <v>540</v>
      </c>
    </row>
    <row r="587" spans="1:7" x14ac:dyDescent="0.25">
      <c r="A587" s="2" t="s">
        <v>1494</v>
      </c>
      <c r="B587" s="2" t="s">
        <v>1495</v>
      </c>
      <c r="C587" s="2" t="s">
        <v>1496</v>
      </c>
      <c r="D587" s="2" t="s">
        <v>1183</v>
      </c>
      <c r="E587" s="2" t="s">
        <v>1497</v>
      </c>
      <c r="F587" s="2" t="s">
        <v>1498</v>
      </c>
      <c r="G587" s="2" t="s">
        <v>1499</v>
      </c>
    </row>
    <row r="588" spans="1:7" x14ac:dyDescent="0.25">
      <c r="A588" s="2" t="s">
        <v>1500</v>
      </c>
      <c r="B588" s="2" t="s">
        <v>1501</v>
      </c>
      <c r="C588" s="2" t="s">
        <v>1502</v>
      </c>
      <c r="D588" s="2" t="s">
        <v>1503</v>
      </c>
      <c r="E588" s="2" t="s">
        <v>1504</v>
      </c>
      <c r="F588" s="2" t="s">
        <v>1505</v>
      </c>
      <c r="G588" s="2" t="s">
        <v>1506</v>
      </c>
    </row>
    <row r="589" spans="1:7" x14ac:dyDescent="0.25">
      <c r="A589" s="2" t="s">
        <v>1507</v>
      </c>
      <c r="B589" s="2" t="s">
        <v>1508</v>
      </c>
      <c r="C589" s="2" t="s">
        <v>1509</v>
      </c>
      <c r="D589" s="2" t="s">
        <v>1210</v>
      </c>
      <c r="E589" s="2" t="s">
        <v>1497</v>
      </c>
      <c r="F589" s="2" t="s">
        <v>1510</v>
      </c>
      <c r="G589" s="2" t="s">
        <v>1506</v>
      </c>
    </row>
    <row r="590" spans="1:7" x14ac:dyDescent="0.25">
      <c r="A590" s="2" t="s">
        <v>1511</v>
      </c>
      <c r="B590" s="2" t="s">
        <v>1512</v>
      </c>
      <c r="C590" s="2" t="s">
        <v>1513</v>
      </c>
      <c r="D590" s="2" t="s">
        <v>1514</v>
      </c>
      <c r="E590" s="2" t="s">
        <v>439</v>
      </c>
      <c r="F590" s="2" t="s">
        <v>1515</v>
      </c>
      <c r="G590" s="2" t="s">
        <v>1499</v>
      </c>
    </row>
    <row r="591" spans="1:7" x14ac:dyDescent="0.25">
      <c r="A591" s="2" t="s">
        <v>1516</v>
      </c>
      <c r="B591" s="2" t="s">
        <v>1517</v>
      </c>
      <c r="C591" s="2" t="s">
        <v>1518</v>
      </c>
      <c r="D591" s="2" t="s">
        <v>1519</v>
      </c>
      <c r="E591" s="2" t="s">
        <v>1520</v>
      </c>
      <c r="F591" s="2" t="s">
        <v>1521</v>
      </c>
      <c r="G591" s="2" t="s">
        <v>1506</v>
      </c>
    </row>
    <row r="592" spans="1:7" x14ac:dyDescent="0.25">
      <c r="A592" s="2" t="s">
        <v>1522</v>
      </c>
      <c r="B592" s="2" t="s">
        <v>1523</v>
      </c>
      <c r="C592" s="2" t="s">
        <v>1524</v>
      </c>
      <c r="D592" s="2" t="s">
        <v>1525</v>
      </c>
      <c r="E592" s="2" t="s">
        <v>439</v>
      </c>
      <c r="F592" s="2" t="s">
        <v>1510</v>
      </c>
      <c r="G592" s="2" t="s">
        <v>1506</v>
      </c>
    </row>
    <row r="593" spans="1:7" x14ac:dyDescent="0.25">
      <c r="A593" s="2" t="s">
        <v>1526</v>
      </c>
      <c r="B593" s="2" t="s">
        <v>1527</v>
      </c>
      <c r="C593" s="2" t="s">
        <v>1528</v>
      </c>
      <c r="D593" s="2" t="s">
        <v>1529</v>
      </c>
      <c r="E593" s="2" t="s">
        <v>439</v>
      </c>
      <c r="F593" s="2" t="s">
        <v>1530</v>
      </c>
      <c r="G593" s="2" t="s">
        <v>1506</v>
      </c>
    </row>
    <row r="594" spans="1:7" x14ac:dyDescent="0.25">
      <c r="A594" s="2" t="s">
        <v>1531</v>
      </c>
      <c r="B594" s="2" t="s">
        <v>1532</v>
      </c>
      <c r="C594" s="2" t="s">
        <v>1533</v>
      </c>
      <c r="D594" s="2" t="s">
        <v>1534</v>
      </c>
      <c r="E594" s="2" t="s">
        <v>1535</v>
      </c>
      <c r="F594" s="2" t="s">
        <v>1536</v>
      </c>
      <c r="G594" s="2" t="s">
        <v>1537</v>
      </c>
    </row>
    <row r="595" spans="1:7" x14ac:dyDescent="0.25">
      <c r="A595" s="2" t="s">
        <v>1160</v>
      </c>
      <c r="B595" s="2" t="s">
        <v>1538</v>
      </c>
      <c r="C595" s="2" t="s">
        <v>1539</v>
      </c>
      <c r="D595" s="2" t="s">
        <v>1399</v>
      </c>
      <c r="E595" s="2" t="s">
        <v>1504</v>
      </c>
      <c r="F595" s="2" t="s">
        <v>1540</v>
      </c>
      <c r="G595" s="2" t="s">
        <v>1541</v>
      </c>
    </row>
    <row r="596" spans="1:7" x14ac:dyDescent="0.25">
      <c r="A596" s="2" t="s">
        <v>1542</v>
      </c>
      <c r="B596" s="2" t="s">
        <v>1543</v>
      </c>
      <c r="C596" s="2" t="s">
        <v>1544</v>
      </c>
      <c r="D596" s="2" t="s">
        <v>1545</v>
      </c>
      <c r="E596" s="2" t="s">
        <v>1266</v>
      </c>
      <c r="F596" s="2" t="s">
        <v>1546</v>
      </c>
      <c r="G596" s="2" t="s">
        <v>1547</v>
      </c>
    </row>
    <row r="597" spans="1:7" x14ac:dyDescent="0.25">
      <c r="A597" s="2" t="s">
        <v>1548</v>
      </c>
      <c r="B597" s="2" t="s">
        <v>1549</v>
      </c>
      <c r="C597" s="2" t="s">
        <v>1550</v>
      </c>
      <c r="D597" s="2" t="s">
        <v>1551</v>
      </c>
      <c r="E597" s="2" t="s">
        <v>1269</v>
      </c>
      <c r="F597" s="2" t="s">
        <v>1552</v>
      </c>
      <c r="G597" s="2" t="s">
        <v>1537</v>
      </c>
    </row>
    <row r="598" spans="1:7" x14ac:dyDescent="0.25">
      <c r="A598" s="2" t="s">
        <v>1553</v>
      </c>
      <c r="B598" s="2" t="s">
        <v>1554</v>
      </c>
      <c r="C598" s="2" t="s">
        <v>1555</v>
      </c>
      <c r="D598" s="2" t="s">
        <v>1556</v>
      </c>
      <c r="E598" s="2" t="s">
        <v>1535</v>
      </c>
      <c r="F598" s="2" t="s">
        <v>1557</v>
      </c>
      <c r="G598" s="2" t="s">
        <v>1547</v>
      </c>
    </row>
    <row r="600" spans="1:7" x14ac:dyDescent="0.25">
      <c r="A600" s="16" t="s">
        <v>1558</v>
      </c>
      <c r="B600" s="17"/>
      <c r="C600" s="17"/>
      <c r="D600" s="17"/>
      <c r="E600" s="17"/>
      <c r="F600" s="17"/>
      <c r="G600" s="17"/>
    </row>
    <row r="601" spans="1:7" x14ac:dyDescent="0.25">
      <c r="A601" s="10" t="s">
        <v>1559</v>
      </c>
      <c r="B601" s="10" t="s">
        <v>1560</v>
      </c>
      <c r="C601" s="10" t="s">
        <v>1357</v>
      </c>
      <c r="D601" s="10" t="s">
        <v>1245</v>
      </c>
      <c r="E601" s="10" t="s">
        <v>1561</v>
      </c>
      <c r="F601" s="10" t="s">
        <v>457</v>
      </c>
      <c r="G601" s="10" t="s">
        <v>540</v>
      </c>
    </row>
    <row r="602" spans="1:7" x14ac:dyDescent="0.25">
      <c r="A602" s="2" t="s">
        <v>1562</v>
      </c>
      <c r="B602" s="2" t="s">
        <v>1563</v>
      </c>
      <c r="C602" s="2" t="s">
        <v>1564</v>
      </c>
      <c r="D602" s="2" t="s">
        <v>1565</v>
      </c>
      <c r="E602" s="2" t="s">
        <v>1566</v>
      </c>
      <c r="F602" s="2" t="s">
        <v>1303</v>
      </c>
      <c r="G602" s="2" t="s">
        <v>1567</v>
      </c>
    </row>
    <row r="603" spans="1:7" x14ac:dyDescent="0.25">
      <c r="A603" s="2" t="s">
        <v>1568</v>
      </c>
      <c r="B603" s="2" t="s">
        <v>1569</v>
      </c>
      <c r="C603" s="2" t="s">
        <v>1570</v>
      </c>
      <c r="D603" s="2" t="s">
        <v>1571</v>
      </c>
      <c r="E603" s="2" t="s">
        <v>1572</v>
      </c>
      <c r="F603" s="2" t="s">
        <v>1573</v>
      </c>
      <c r="G603" s="2" t="s">
        <v>1567</v>
      </c>
    </row>
    <row r="604" spans="1:7" x14ac:dyDescent="0.25">
      <c r="A604" s="2" t="s">
        <v>1574</v>
      </c>
      <c r="B604" s="2" t="s">
        <v>1575</v>
      </c>
      <c r="C604" s="2" t="s">
        <v>1576</v>
      </c>
      <c r="D604" s="2" t="s">
        <v>1565</v>
      </c>
      <c r="E604" s="2" t="s">
        <v>1577</v>
      </c>
      <c r="F604" s="2" t="s">
        <v>1578</v>
      </c>
      <c r="G604" s="2" t="s">
        <v>1579</v>
      </c>
    </row>
    <row r="605" spans="1:7" x14ac:dyDescent="0.25">
      <c r="A605" s="2" t="s">
        <v>1580</v>
      </c>
      <c r="B605" s="2" t="s">
        <v>1581</v>
      </c>
      <c r="C605" s="2" t="s">
        <v>1582</v>
      </c>
      <c r="D605" s="2" t="s">
        <v>1085</v>
      </c>
      <c r="E605" s="2" t="s">
        <v>1583</v>
      </c>
      <c r="F605" s="2" t="s">
        <v>1584</v>
      </c>
      <c r="G605" s="2" t="s">
        <v>1567</v>
      </c>
    </row>
    <row r="606" spans="1:7" x14ac:dyDescent="0.25">
      <c r="A606" s="2" t="s">
        <v>1585</v>
      </c>
      <c r="B606" s="2" t="s">
        <v>1586</v>
      </c>
      <c r="C606" s="2" t="s">
        <v>1587</v>
      </c>
      <c r="D606" s="2" t="s">
        <v>1414</v>
      </c>
      <c r="E606" s="2" t="s">
        <v>1588</v>
      </c>
      <c r="F606" s="2" t="s">
        <v>1589</v>
      </c>
      <c r="G606" s="2" t="s">
        <v>1416</v>
      </c>
    </row>
    <row r="607" spans="1:7" x14ac:dyDescent="0.25">
      <c r="A607" s="2" t="s">
        <v>1590</v>
      </c>
      <c r="B607" s="2" t="s">
        <v>1591</v>
      </c>
      <c r="C607" s="2" t="s">
        <v>1592</v>
      </c>
      <c r="D607" s="2" t="s">
        <v>1414</v>
      </c>
      <c r="E607" s="2" t="s">
        <v>1588</v>
      </c>
      <c r="F607" s="2" t="s">
        <v>1593</v>
      </c>
      <c r="G607" s="2" t="s">
        <v>1416</v>
      </c>
    </row>
    <row r="608" spans="1:7" x14ac:dyDescent="0.25">
      <c r="A608" s="2" t="s">
        <v>1594</v>
      </c>
      <c r="B608" s="2" t="s">
        <v>1595</v>
      </c>
      <c r="C608" s="2" t="s">
        <v>1596</v>
      </c>
      <c r="D608" s="2" t="s">
        <v>1597</v>
      </c>
      <c r="E608" s="2" t="s">
        <v>1598</v>
      </c>
      <c r="F608" s="2" t="s">
        <v>1599</v>
      </c>
      <c r="G608" s="2" t="s">
        <v>1440</v>
      </c>
    </row>
    <row r="609" spans="1:7" x14ac:dyDescent="0.25">
      <c r="A609" s="2" t="s">
        <v>1600</v>
      </c>
      <c r="B609" s="2" t="s">
        <v>1601</v>
      </c>
      <c r="C609" s="2" t="s">
        <v>1446</v>
      </c>
      <c r="D609" s="2" t="s">
        <v>1084</v>
      </c>
      <c r="E609" s="2" t="s">
        <v>1602</v>
      </c>
      <c r="F609" s="2" t="s">
        <v>1603</v>
      </c>
      <c r="G609" s="2" t="s">
        <v>1448</v>
      </c>
    </row>
    <row r="610" spans="1:7" x14ac:dyDescent="0.25">
      <c r="A610" s="2" t="s">
        <v>1604</v>
      </c>
      <c r="B610" s="2" t="s">
        <v>1605</v>
      </c>
      <c r="C610" s="2" t="s">
        <v>1606</v>
      </c>
      <c r="D610" s="2" t="s">
        <v>1085</v>
      </c>
      <c r="E610" s="2" t="s">
        <v>1607</v>
      </c>
      <c r="F610" s="2" t="s">
        <v>1608</v>
      </c>
      <c r="G610" s="2" t="s">
        <v>1444</v>
      </c>
    </row>
    <row r="611" spans="1:7" x14ac:dyDescent="0.25">
      <c r="A611" s="2" t="s">
        <v>1609</v>
      </c>
      <c r="B611" s="2" t="s">
        <v>1610</v>
      </c>
      <c r="C611" s="2" t="s">
        <v>1611</v>
      </c>
      <c r="D611" s="2" t="s">
        <v>1612</v>
      </c>
      <c r="E611" s="2" t="s">
        <v>1613</v>
      </c>
      <c r="F611" s="2" t="s">
        <v>1614</v>
      </c>
      <c r="G611" s="2" t="s">
        <v>1615</v>
      </c>
    </row>
    <row r="612" spans="1:7" x14ac:dyDescent="0.25">
      <c r="A612" s="2" t="s">
        <v>945</v>
      </c>
      <c r="B612" s="2" t="s">
        <v>946</v>
      </c>
      <c r="C612" s="2" t="s">
        <v>1616</v>
      </c>
      <c r="D612" s="2" t="s">
        <v>1617</v>
      </c>
      <c r="E612" s="2" t="s">
        <v>1618</v>
      </c>
      <c r="F612" s="2" t="s">
        <v>1433</v>
      </c>
      <c r="G612" s="2" t="s">
        <v>1434</v>
      </c>
    </row>
    <row r="613" spans="1:7" x14ac:dyDescent="0.25">
      <c r="A613" s="2" t="s">
        <v>1619</v>
      </c>
      <c r="B613" s="2" t="s">
        <v>1620</v>
      </c>
      <c r="C613" s="2" t="s">
        <v>1621</v>
      </c>
      <c r="D613" s="2" t="s">
        <v>1622</v>
      </c>
      <c r="E613" s="2" t="s">
        <v>1623</v>
      </c>
      <c r="F613" s="2" t="s">
        <v>1624</v>
      </c>
      <c r="G613" s="2" t="s">
        <v>1625</v>
      </c>
    </row>
    <row r="614" spans="1:7" x14ac:dyDescent="0.25">
      <c r="A614" s="2" t="s">
        <v>1626</v>
      </c>
      <c r="B614" s="2" t="s">
        <v>1627</v>
      </c>
      <c r="C614" s="2" t="s">
        <v>1628</v>
      </c>
      <c r="D614" s="2" t="s">
        <v>1629</v>
      </c>
      <c r="E614" s="2" t="s">
        <v>1630</v>
      </c>
      <c r="F614" s="2" t="s">
        <v>1631</v>
      </c>
      <c r="G614" s="2" t="s">
        <v>1632</v>
      </c>
    </row>
    <row r="615" spans="1:7" x14ac:dyDescent="0.25">
      <c r="A615" s="2" t="s">
        <v>1633</v>
      </c>
      <c r="B615" s="2" t="s">
        <v>1634</v>
      </c>
      <c r="C615" s="2" t="s">
        <v>1635</v>
      </c>
      <c r="D615" s="2" t="s">
        <v>1636</v>
      </c>
      <c r="E615" s="2" t="s">
        <v>1637</v>
      </c>
      <c r="F615" s="2" t="s">
        <v>1638</v>
      </c>
      <c r="G615" s="2" t="s">
        <v>1639</v>
      </c>
    </row>
    <row r="616" spans="1:7" x14ac:dyDescent="0.25">
      <c r="A616" s="2" t="s">
        <v>1640</v>
      </c>
      <c r="B616" s="2" t="s">
        <v>1641</v>
      </c>
      <c r="C616" s="2" t="s">
        <v>1642</v>
      </c>
      <c r="D616" s="2" t="s">
        <v>1431</v>
      </c>
      <c r="E616" s="2" t="s">
        <v>1643</v>
      </c>
      <c r="F616" s="2" t="s">
        <v>1644</v>
      </c>
      <c r="G616" s="2" t="s">
        <v>1645</v>
      </c>
    </row>
    <row r="617" spans="1:7" x14ac:dyDescent="0.25">
      <c r="A617" s="2" t="s">
        <v>1646</v>
      </c>
      <c r="B617" s="2" t="s">
        <v>1647</v>
      </c>
      <c r="C617" s="2" t="s">
        <v>1648</v>
      </c>
      <c r="D617" s="2" t="s">
        <v>1431</v>
      </c>
      <c r="E617" s="2" t="s">
        <v>1649</v>
      </c>
      <c r="F617" s="2" t="s">
        <v>1650</v>
      </c>
      <c r="G617" s="2" t="s">
        <v>1645</v>
      </c>
    </row>
    <row r="618" spans="1:7" x14ac:dyDescent="0.25">
      <c r="A618" s="2" t="s">
        <v>1651</v>
      </c>
      <c r="B618" s="2" t="s">
        <v>1652</v>
      </c>
      <c r="C618" s="2" t="s">
        <v>1653</v>
      </c>
      <c r="D618" s="2" t="s">
        <v>1431</v>
      </c>
      <c r="E618" s="2" t="s">
        <v>1654</v>
      </c>
      <c r="F618" s="2" t="s">
        <v>1655</v>
      </c>
      <c r="G618" s="2" t="s">
        <v>1656</v>
      </c>
    </row>
    <row r="619" spans="1:7" x14ac:dyDescent="0.25">
      <c r="A619" s="2" t="s">
        <v>1657</v>
      </c>
      <c r="B619" s="2" t="s">
        <v>1658</v>
      </c>
      <c r="C619" s="2" t="s">
        <v>1659</v>
      </c>
      <c r="D619" s="2" t="s">
        <v>1636</v>
      </c>
      <c r="E619" s="2" t="s">
        <v>1660</v>
      </c>
      <c r="F619" s="2" t="s">
        <v>1661</v>
      </c>
      <c r="G619" s="2" t="s">
        <v>1416</v>
      </c>
    </row>
    <row r="621" spans="1:7" x14ac:dyDescent="0.25">
      <c r="A621" s="16" t="s">
        <v>1662</v>
      </c>
      <c r="B621" s="17"/>
      <c r="C621" s="17"/>
      <c r="D621" s="17"/>
      <c r="E621" s="17"/>
      <c r="F621" s="17"/>
      <c r="G621" s="17"/>
    </row>
    <row r="622" spans="1:7" x14ac:dyDescent="0.25">
      <c r="A622" s="10" t="s">
        <v>1559</v>
      </c>
      <c r="B622" s="10" t="s">
        <v>1560</v>
      </c>
      <c r="C622" s="10" t="s">
        <v>1357</v>
      </c>
      <c r="D622" s="10" t="s">
        <v>1663</v>
      </c>
      <c r="E622" s="10" t="s">
        <v>1664</v>
      </c>
      <c r="F622" s="10" t="s">
        <v>457</v>
      </c>
      <c r="G622" s="10" t="s">
        <v>540</v>
      </c>
    </row>
    <row r="623" spans="1:7" x14ac:dyDescent="0.25">
      <c r="A623" s="2" t="s">
        <v>1665</v>
      </c>
      <c r="B623" s="2" t="s">
        <v>1666</v>
      </c>
      <c r="C623" s="2" t="s">
        <v>1667</v>
      </c>
      <c r="D623" s="2" t="s">
        <v>1668</v>
      </c>
      <c r="E623" s="2" t="s">
        <v>1669</v>
      </c>
      <c r="F623" s="2" t="s">
        <v>1670</v>
      </c>
      <c r="G623" s="2" t="s">
        <v>1671</v>
      </c>
    </row>
    <row r="624" spans="1:7" x14ac:dyDescent="0.25">
      <c r="A624" s="2" t="s">
        <v>1672</v>
      </c>
      <c r="B624" s="2" t="s">
        <v>1673</v>
      </c>
      <c r="C624" s="2" t="s">
        <v>1674</v>
      </c>
      <c r="D624" s="2" t="s">
        <v>1675</v>
      </c>
      <c r="E624" s="2" t="s">
        <v>1676</v>
      </c>
      <c r="F624" s="2" t="s">
        <v>1677</v>
      </c>
      <c r="G624" s="2" t="s">
        <v>1678</v>
      </c>
    </row>
    <row r="625" spans="1:7" x14ac:dyDescent="0.25">
      <c r="A625" s="2" t="s">
        <v>1679</v>
      </c>
      <c r="B625" s="2" t="s">
        <v>1680</v>
      </c>
      <c r="C625" s="2" t="s">
        <v>1681</v>
      </c>
      <c r="D625" s="2" t="s">
        <v>1682</v>
      </c>
      <c r="E625" s="2" t="s">
        <v>1683</v>
      </c>
      <c r="F625" s="2" t="s">
        <v>1684</v>
      </c>
      <c r="G625" s="2" t="s">
        <v>1678</v>
      </c>
    </row>
    <row r="626" spans="1:7" x14ac:dyDescent="0.25">
      <c r="A626" s="2" t="s">
        <v>1685</v>
      </c>
      <c r="B626" s="2" t="s">
        <v>1686</v>
      </c>
      <c r="C626" s="2" t="s">
        <v>1687</v>
      </c>
      <c r="D626" s="2" t="s">
        <v>1688</v>
      </c>
      <c r="E626" s="2" t="s">
        <v>1689</v>
      </c>
      <c r="F626" s="2" t="s">
        <v>1690</v>
      </c>
      <c r="G626" s="2" t="s">
        <v>1691</v>
      </c>
    </row>
    <row r="627" spans="1:7" x14ac:dyDescent="0.25">
      <c r="A627" s="2" t="s">
        <v>1692</v>
      </c>
      <c r="B627" s="2" t="s">
        <v>1693</v>
      </c>
      <c r="C627" s="2" t="s">
        <v>1694</v>
      </c>
      <c r="D627" s="2" t="s">
        <v>1695</v>
      </c>
      <c r="E627" s="2" t="s">
        <v>1696</v>
      </c>
      <c r="F627" s="2" t="s">
        <v>1697</v>
      </c>
      <c r="G627" s="2" t="s">
        <v>1698</v>
      </c>
    </row>
    <row r="628" spans="1:7" x14ac:dyDescent="0.25">
      <c r="A628" s="2" t="s">
        <v>1699</v>
      </c>
      <c r="B628" s="2" t="s">
        <v>1700</v>
      </c>
      <c r="C628" s="2" t="s">
        <v>1701</v>
      </c>
      <c r="D628" s="2" t="s">
        <v>1702</v>
      </c>
      <c r="E628" s="2" t="s">
        <v>1703</v>
      </c>
      <c r="F628" s="2" t="s">
        <v>1704</v>
      </c>
      <c r="G628" s="2" t="s">
        <v>1440</v>
      </c>
    </row>
    <row r="629" spans="1:7" x14ac:dyDescent="0.25">
      <c r="A629" s="2" t="s">
        <v>1705</v>
      </c>
      <c r="B629" s="2" t="s">
        <v>1706</v>
      </c>
      <c r="C629" s="2" t="s">
        <v>1707</v>
      </c>
      <c r="D629" s="2" t="s">
        <v>1708</v>
      </c>
      <c r="E629" s="2" t="s">
        <v>1703</v>
      </c>
      <c r="F629" s="2" t="s">
        <v>1709</v>
      </c>
      <c r="G629" s="2" t="s">
        <v>1440</v>
      </c>
    </row>
    <row r="630" spans="1:7" x14ac:dyDescent="0.25">
      <c r="A630" s="2" t="s">
        <v>1710</v>
      </c>
      <c r="B630" s="2" t="s">
        <v>1711</v>
      </c>
      <c r="C630" s="2" t="s">
        <v>1712</v>
      </c>
      <c r="D630" s="2" t="s">
        <v>1713</v>
      </c>
      <c r="E630" s="2" t="s">
        <v>1714</v>
      </c>
      <c r="F630" s="2" t="s">
        <v>1715</v>
      </c>
      <c r="G630" s="2" t="s">
        <v>1440</v>
      </c>
    </row>
    <row r="631" spans="1:7" x14ac:dyDescent="0.25">
      <c r="A631" s="2" t="s">
        <v>1716</v>
      </c>
      <c r="B631" s="2" t="s">
        <v>1717</v>
      </c>
      <c r="C631" s="2" t="s">
        <v>1718</v>
      </c>
      <c r="D631" s="2" t="s">
        <v>1719</v>
      </c>
      <c r="E631" s="2" t="s">
        <v>1720</v>
      </c>
      <c r="F631" s="2" t="s">
        <v>1721</v>
      </c>
      <c r="G631" s="2" t="s">
        <v>1722</v>
      </c>
    </row>
    <row r="632" spans="1:7" x14ac:dyDescent="0.25">
      <c r="A632" s="2" t="s">
        <v>1723</v>
      </c>
      <c r="B632" s="2" t="s">
        <v>1724</v>
      </c>
      <c r="C632" s="2" t="s">
        <v>1725</v>
      </c>
      <c r="D632" s="2" t="s">
        <v>1431</v>
      </c>
      <c r="E632" s="2" t="s">
        <v>1726</v>
      </c>
      <c r="F632" s="2" t="s">
        <v>1727</v>
      </c>
      <c r="G632" s="2" t="s">
        <v>1722</v>
      </c>
    </row>
    <row r="633" spans="1:7" x14ac:dyDescent="0.25">
      <c r="A633" s="2" t="s">
        <v>1728</v>
      </c>
      <c r="B633" s="2" t="s">
        <v>1729</v>
      </c>
      <c r="C633" s="2" t="s">
        <v>1730</v>
      </c>
      <c r="D633" s="2" t="s">
        <v>1431</v>
      </c>
      <c r="E633" s="2" t="s">
        <v>1731</v>
      </c>
      <c r="F633" s="2" t="s">
        <v>1732</v>
      </c>
      <c r="G633" s="2" t="s">
        <v>1733</v>
      </c>
    </row>
    <row r="634" spans="1:7" x14ac:dyDescent="0.25">
      <c r="A634" s="2" t="s">
        <v>1734</v>
      </c>
      <c r="B634" s="2" t="s">
        <v>1735</v>
      </c>
      <c r="C634" s="2" t="s">
        <v>1736</v>
      </c>
      <c r="D634" s="2" t="s">
        <v>1084</v>
      </c>
      <c r="E634" s="2" t="s">
        <v>1737</v>
      </c>
      <c r="F634" s="2" t="s">
        <v>1738</v>
      </c>
      <c r="G634" s="2" t="s">
        <v>1448</v>
      </c>
    </row>
    <row r="635" spans="1:7" x14ac:dyDescent="0.25">
      <c r="A635" s="2" t="s">
        <v>1739</v>
      </c>
      <c r="B635" s="2" t="s">
        <v>1740</v>
      </c>
      <c r="C635" s="2" t="s">
        <v>1741</v>
      </c>
      <c r="D635" s="2" t="s">
        <v>1084</v>
      </c>
      <c r="E635" s="2" t="s">
        <v>1742</v>
      </c>
      <c r="F635" s="2" t="s">
        <v>1743</v>
      </c>
      <c r="G635" s="2" t="s">
        <v>1448</v>
      </c>
    </row>
    <row r="636" spans="1:7" x14ac:dyDescent="0.25">
      <c r="A636" s="2" t="s">
        <v>1744</v>
      </c>
      <c r="B636" s="2" t="s">
        <v>1745</v>
      </c>
      <c r="C636" s="2" t="s">
        <v>1746</v>
      </c>
      <c r="D636" s="2" t="s">
        <v>1747</v>
      </c>
      <c r="E636" s="2" t="s">
        <v>1748</v>
      </c>
      <c r="F636" s="2" t="s">
        <v>1539</v>
      </c>
      <c r="G636" s="2" t="s">
        <v>1749</v>
      </c>
    </row>
    <row r="637" spans="1:7" x14ac:dyDescent="0.25">
      <c r="A637" s="2" t="s">
        <v>1750</v>
      </c>
      <c r="B637" s="2" t="s">
        <v>1751</v>
      </c>
      <c r="C637" s="2" t="s">
        <v>1752</v>
      </c>
      <c r="D637" s="2" t="s">
        <v>1753</v>
      </c>
      <c r="E637" s="2" t="s">
        <v>1754</v>
      </c>
      <c r="F637" s="2" t="s">
        <v>1755</v>
      </c>
      <c r="G637" s="2" t="s">
        <v>1541</v>
      </c>
    </row>
    <row r="639" spans="1:7" x14ac:dyDescent="0.25">
      <c r="A639" s="16" t="s">
        <v>1756</v>
      </c>
      <c r="B639" s="17"/>
      <c r="C639" s="17"/>
      <c r="D639" s="17"/>
      <c r="E639" s="17"/>
      <c r="F639" s="17"/>
      <c r="G639" s="17"/>
    </row>
    <row r="640" spans="1:7" x14ac:dyDescent="0.25">
      <c r="A640" s="10" t="s">
        <v>1757</v>
      </c>
      <c r="B640" s="10" t="s">
        <v>1758</v>
      </c>
      <c r="C640" s="10" t="s">
        <v>1357</v>
      </c>
      <c r="D640" s="10" t="s">
        <v>1759</v>
      </c>
      <c r="E640" s="10" t="s">
        <v>1760</v>
      </c>
      <c r="F640" s="10" t="s">
        <v>457</v>
      </c>
      <c r="G640" s="10" t="s">
        <v>540</v>
      </c>
    </row>
    <row r="641" spans="1:7" x14ac:dyDescent="0.25">
      <c r="A641" s="2" t="s">
        <v>1761</v>
      </c>
      <c r="B641" s="2" t="s">
        <v>1762</v>
      </c>
      <c r="C641" s="2" t="s">
        <v>1763</v>
      </c>
      <c r="D641" s="2" t="s">
        <v>1764</v>
      </c>
      <c r="E641" s="2" t="s">
        <v>1765</v>
      </c>
      <c r="F641" s="2" t="s">
        <v>1766</v>
      </c>
      <c r="G641" s="2" t="s">
        <v>580</v>
      </c>
    </row>
    <row r="642" spans="1:7" x14ac:dyDescent="0.25">
      <c r="A642" s="2" t="s">
        <v>1767</v>
      </c>
      <c r="B642" s="2" t="s">
        <v>1768</v>
      </c>
      <c r="C642" s="2" t="s">
        <v>1769</v>
      </c>
      <c r="D642" s="2" t="s">
        <v>1770</v>
      </c>
      <c r="E642" s="2" t="s">
        <v>1771</v>
      </c>
      <c r="F642" s="2" t="s">
        <v>1772</v>
      </c>
      <c r="G642" s="2" t="s">
        <v>596</v>
      </c>
    </row>
    <row r="643" spans="1:7" x14ac:dyDescent="0.25">
      <c r="A643" s="2" t="s">
        <v>1773</v>
      </c>
      <c r="B643" s="2" t="s">
        <v>1774</v>
      </c>
      <c r="C643" s="2" t="s">
        <v>1775</v>
      </c>
      <c r="D643" s="2" t="s">
        <v>1776</v>
      </c>
      <c r="E643" s="2" t="s">
        <v>1777</v>
      </c>
      <c r="F643" s="2" t="s">
        <v>1778</v>
      </c>
      <c r="G643" s="2" t="s">
        <v>601</v>
      </c>
    </row>
    <row r="644" spans="1:7" x14ac:dyDescent="0.25">
      <c r="A644" s="2" t="s">
        <v>1779</v>
      </c>
      <c r="B644" s="2" t="s">
        <v>1780</v>
      </c>
      <c r="C644" s="2" t="s">
        <v>1781</v>
      </c>
      <c r="D644" s="2" t="s">
        <v>1782</v>
      </c>
      <c r="E644" s="2" t="s">
        <v>1783</v>
      </c>
      <c r="F644" s="2" t="s">
        <v>1784</v>
      </c>
      <c r="G644" s="2" t="s">
        <v>601</v>
      </c>
    </row>
    <row r="645" spans="1:7" x14ac:dyDescent="0.25">
      <c r="A645" s="2" t="s">
        <v>1785</v>
      </c>
      <c r="B645" s="2" t="s">
        <v>1786</v>
      </c>
      <c r="C645" s="2" t="s">
        <v>1787</v>
      </c>
      <c r="D645" s="2" t="s">
        <v>1788</v>
      </c>
      <c r="E645" s="2" t="s">
        <v>1431</v>
      </c>
      <c r="F645" s="2" t="s">
        <v>1789</v>
      </c>
      <c r="G645" s="2" t="s">
        <v>1790</v>
      </c>
    </row>
    <row r="646" spans="1:7" x14ac:dyDescent="0.25">
      <c r="A646" s="2" t="s">
        <v>1791</v>
      </c>
      <c r="B646" s="2" t="s">
        <v>1792</v>
      </c>
      <c r="C646" s="2" t="s">
        <v>1787</v>
      </c>
      <c r="D646" s="2" t="s">
        <v>1793</v>
      </c>
      <c r="E646" s="2" t="s">
        <v>1431</v>
      </c>
      <c r="F646" s="2" t="s">
        <v>1794</v>
      </c>
      <c r="G646" s="2" t="s">
        <v>1790</v>
      </c>
    </row>
    <row r="647" spans="1:7" x14ac:dyDescent="0.25">
      <c r="A647" s="2" t="s">
        <v>1795</v>
      </c>
      <c r="B647" s="2" t="s">
        <v>1796</v>
      </c>
      <c r="C647" s="2" t="s">
        <v>1797</v>
      </c>
      <c r="D647" s="2" t="s">
        <v>1798</v>
      </c>
      <c r="E647" s="2" t="s">
        <v>1431</v>
      </c>
      <c r="F647" s="2" t="s">
        <v>1799</v>
      </c>
      <c r="G647" s="2" t="s">
        <v>606</v>
      </c>
    </row>
    <row r="648" spans="1:7" x14ac:dyDescent="0.25">
      <c r="A648" s="2" t="s">
        <v>1800</v>
      </c>
      <c r="B648" s="2" t="s">
        <v>1801</v>
      </c>
      <c r="C648" s="2" t="s">
        <v>1802</v>
      </c>
      <c r="D648" s="2" t="s">
        <v>1803</v>
      </c>
      <c r="E648" s="2" t="s">
        <v>1431</v>
      </c>
      <c r="F648" s="2" t="s">
        <v>1804</v>
      </c>
      <c r="G648" s="2" t="s">
        <v>1805</v>
      </c>
    </row>
    <row r="649" spans="1:7" x14ac:dyDescent="0.25">
      <c r="A649" s="2" t="s">
        <v>1806</v>
      </c>
      <c r="B649" s="2" t="s">
        <v>1807</v>
      </c>
      <c r="C649" s="2" t="s">
        <v>1808</v>
      </c>
      <c r="D649" s="2" t="s">
        <v>1809</v>
      </c>
      <c r="E649" s="2" t="s">
        <v>1431</v>
      </c>
      <c r="F649" s="2" t="s">
        <v>1810</v>
      </c>
      <c r="G649" s="2" t="s">
        <v>1805</v>
      </c>
    </row>
    <row r="650" spans="1:7" x14ac:dyDescent="0.25">
      <c r="A650" s="2" t="s">
        <v>1811</v>
      </c>
      <c r="B650" s="2" t="s">
        <v>1812</v>
      </c>
      <c r="C650" s="2" t="s">
        <v>1813</v>
      </c>
      <c r="D650" s="2" t="s">
        <v>1803</v>
      </c>
      <c r="E650" s="2" t="s">
        <v>1431</v>
      </c>
      <c r="F650" s="2" t="s">
        <v>1814</v>
      </c>
      <c r="G650" s="2" t="s">
        <v>1399</v>
      </c>
    </row>
    <row r="651" spans="1:7" x14ac:dyDescent="0.25">
      <c r="A651" s="2" t="s">
        <v>1815</v>
      </c>
      <c r="B651" s="2" t="s">
        <v>1816</v>
      </c>
      <c r="C651" s="2" t="s">
        <v>1817</v>
      </c>
      <c r="D651" s="2" t="s">
        <v>1818</v>
      </c>
      <c r="E651" s="2" t="s">
        <v>1819</v>
      </c>
      <c r="F651" s="2" t="s">
        <v>1820</v>
      </c>
      <c r="G651" s="2" t="s">
        <v>1821</v>
      </c>
    </row>
    <row r="652" spans="1:7" x14ac:dyDescent="0.25">
      <c r="A652" s="2" t="s">
        <v>1822</v>
      </c>
      <c r="B652" s="2" t="s">
        <v>1823</v>
      </c>
      <c r="C652" s="2" t="s">
        <v>1824</v>
      </c>
      <c r="D652" s="2" t="s">
        <v>1825</v>
      </c>
      <c r="E652" s="2" t="s">
        <v>1826</v>
      </c>
      <c r="F652" s="2" t="s">
        <v>1827</v>
      </c>
      <c r="G652" s="2" t="s">
        <v>1821</v>
      </c>
    </row>
    <row r="653" spans="1:7" x14ac:dyDescent="0.25">
      <c r="A653" s="2" t="s">
        <v>1828</v>
      </c>
      <c r="B653" s="2" t="s">
        <v>1829</v>
      </c>
      <c r="C653" s="2" t="s">
        <v>1830</v>
      </c>
      <c r="D653" s="2" t="s">
        <v>1831</v>
      </c>
      <c r="E653" s="2" t="s">
        <v>1832</v>
      </c>
      <c r="F653" s="2" t="s">
        <v>1833</v>
      </c>
      <c r="G653" s="2" t="s">
        <v>1399</v>
      </c>
    </row>
    <row r="654" spans="1:7" x14ac:dyDescent="0.25">
      <c r="A654" s="2" t="s">
        <v>1834</v>
      </c>
      <c r="B654" s="2" t="s">
        <v>1835</v>
      </c>
      <c r="C654" s="2" t="s">
        <v>1836</v>
      </c>
      <c r="D654" s="2" t="s">
        <v>1837</v>
      </c>
      <c r="E654" s="2" t="s">
        <v>1819</v>
      </c>
      <c r="F654" s="2" t="s">
        <v>1838</v>
      </c>
      <c r="G654" s="2" t="s">
        <v>1839</v>
      </c>
    </row>
    <row r="657" spans="1:3" x14ac:dyDescent="0.25">
      <c r="A657" s="13" t="s">
        <v>1840</v>
      </c>
    </row>
    <row r="658" spans="1:3" x14ac:dyDescent="0.25">
      <c r="A658" s="14" t="s">
        <v>735</v>
      </c>
      <c r="B658" s="14" t="s">
        <v>736</v>
      </c>
      <c r="C658" s="14" t="s">
        <v>737</v>
      </c>
    </row>
    <row r="659" spans="1:3" x14ac:dyDescent="0.25">
      <c r="A659" s="2" t="s">
        <v>1841</v>
      </c>
      <c r="B659" s="2" t="s">
        <v>1842</v>
      </c>
      <c r="C659" s="2" t="s">
        <v>1843</v>
      </c>
    </row>
    <row r="660" spans="1:3" x14ac:dyDescent="0.25">
      <c r="A660" s="2" t="s">
        <v>1844</v>
      </c>
      <c r="B660" s="2" t="s">
        <v>1845</v>
      </c>
      <c r="C660" s="2" t="s">
        <v>1846</v>
      </c>
    </row>
    <row r="661" spans="1:3" x14ac:dyDescent="0.25">
      <c r="A661" s="2" t="s">
        <v>1847</v>
      </c>
      <c r="B661" s="2" t="s">
        <v>1848</v>
      </c>
      <c r="C661" s="2" t="s">
        <v>1849</v>
      </c>
    </row>
    <row r="662" spans="1:3" x14ac:dyDescent="0.25">
      <c r="A662" s="2" t="s">
        <v>1850</v>
      </c>
      <c r="B662" s="2" t="s">
        <v>1851</v>
      </c>
      <c r="C662" s="2" t="s">
        <v>1852</v>
      </c>
    </row>
    <row r="663" spans="1:3" x14ac:dyDescent="0.25">
      <c r="A663" s="2" t="s">
        <v>1853</v>
      </c>
      <c r="B663" s="2" t="s">
        <v>1854</v>
      </c>
      <c r="C663" s="2" t="s">
        <v>1855</v>
      </c>
    </row>
    <row r="664" spans="1:3" x14ac:dyDescent="0.25">
      <c r="A664" s="2" t="s">
        <v>1856</v>
      </c>
      <c r="B664" s="2" t="s">
        <v>1857</v>
      </c>
      <c r="C664" s="2" t="s">
        <v>1858</v>
      </c>
    </row>
    <row r="665" spans="1:3" x14ac:dyDescent="0.25">
      <c r="A665" s="2" t="s">
        <v>1859</v>
      </c>
      <c r="B665" s="2" t="s">
        <v>1860</v>
      </c>
      <c r="C665" s="2" t="s">
        <v>1861</v>
      </c>
    </row>
    <row r="666" spans="1:3" x14ac:dyDescent="0.25">
      <c r="A666" s="2" t="s">
        <v>1862</v>
      </c>
      <c r="B666" s="2" t="s">
        <v>1863</v>
      </c>
      <c r="C666" s="2" t="s">
        <v>1864</v>
      </c>
    </row>
    <row r="667" spans="1:3" x14ac:dyDescent="0.25">
      <c r="A667" s="2" t="s">
        <v>1865</v>
      </c>
      <c r="B667" s="2" t="s">
        <v>1866</v>
      </c>
      <c r="C667" s="2" t="s">
        <v>1867</v>
      </c>
    </row>
    <row r="668" spans="1:3" x14ac:dyDescent="0.25">
      <c r="A668" s="2" t="s">
        <v>1868</v>
      </c>
      <c r="B668" s="2" t="s">
        <v>1869</v>
      </c>
      <c r="C668" s="2" t="s">
        <v>1870</v>
      </c>
    </row>
    <row r="669" spans="1:3" x14ac:dyDescent="0.25">
      <c r="A669" s="2" t="s">
        <v>1871</v>
      </c>
      <c r="B669" s="2" t="s">
        <v>1872</v>
      </c>
      <c r="C669" s="2" t="s">
        <v>1873</v>
      </c>
    </row>
    <row r="670" spans="1:3" x14ac:dyDescent="0.25">
      <c r="A670" s="2" t="s">
        <v>1874</v>
      </c>
      <c r="B670" s="2" t="s">
        <v>1875</v>
      </c>
      <c r="C670" s="2" t="s">
        <v>1876</v>
      </c>
    </row>
    <row r="671" spans="1:3" x14ac:dyDescent="0.25">
      <c r="A671" s="2" t="s">
        <v>1877</v>
      </c>
      <c r="B671" s="2" t="s">
        <v>1878</v>
      </c>
      <c r="C671" s="2" t="s">
        <v>1879</v>
      </c>
    </row>
    <row r="672" spans="1:3" x14ac:dyDescent="0.25">
      <c r="A672" s="2" t="s">
        <v>1880</v>
      </c>
      <c r="B672" s="2" t="s">
        <v>1881</v>
      </c>
      <c r="C672" s="2" t="s">
        <v>1882</v>
      </c>
    </row>
    <row r="673" spans="1:3" x14ac:dyDescent="0.25">
      <c r="A673" s="2" t="s">
        <v>1883</v>
      </c>
      <c r="B673" s="2" t="s">
        <v>1884</v>
      </c>
      <c r="C673" s="2" t="s">
        <v>1885</v>
      </c>
    </row>
    <row r="677" spans="1:3" x14ac:dyDescent="0.25">
      <c r="A677" s="20" t="s">
        <v>1886</v>
      </c>
      <c r="B677" s="17"/>
      <c r="C677" s="17"/>
    </row>
    <row r="678" spans="1:3" x14ac:dyDescent="0.25">
      <c r="A678" s="14" t="s">
        <v>735</v>
      </c>
      <c r="B678" s="14" t="s">
        <v>736</v>
      </c>
      <c r="C678" s="14" t="s">
        <v>737</v>
      </c>
    </row>
    <row r="679" spans="1:3" x14ac:dyDescent="0.25">
      <c r="A679" s="2" t="s">
        <v>1887</v>
      </c>
      <c r="B679" s="2" t="s">
        <v>1888</v>
      </c>
      <c r="C679" s="2" t="s">
        <v>1889</v>
      </c>
    </row>
    <row r="680" spans="1:3" x14ac:dyDescent="0.25">
      <c r="A680" s="2" t="s">
        <v>1890</v>
      </c>
      <c r="B680" s="2" t="s">
        <v>1891</v>
      </c>
      <c r="C680" s="2" t="s">
        <v>1892</v>
      </c>
    </row>
    <row r="681" spans="1:3" x14ac:dyDescent="0.25">
      <c r="A681" s="2" t="s">
        <v>1893</v>
      </c>
      <c r="B681" s="2" t="s">
        <v>1894</v>
      </c>
      <c r="C681" s="2" t="s">
        <v>1895</v>
      </c>
    </row>
    <row r="682" spans="1:3" x14ac:dyDescent="0.25">
      <c r="A682" s="2" t="s">
        <v>1896</v>
      </c>
      <c r="B682" s="2" t="s">
        <v>1897</v>
      </c>
      <c r="C682" s="2" t="s">
        <v>1898</v>
      </c>
    </row>
    <row r="683" spans="1:3" x14ac:dyDescent="0.25">
      <c r="A683" s="2" t="s">
        <v>1899</v>
      </c>
      <c r="B683" s="2" t="s">
        <v>1900</v>
      </c>
      <c r="C683" s="2" t="s">
        <v>1901</v>
      </c>
    </row>
    <row r="684" spans="1:3" x14ac:dyDescent="0.25">
      <c r="A684" s="2" t="s">
        <v>1902</v>
      </c>
      <c r="B684" s="2" t="s">
        <v>1903</v>
      </c>
      <c r="C684" s="2" t="s">
        <v>1904</v>
      </c>
    </row>
    <row r="685" spans="1:3" x14ac:dyDescent="0.25">
      <c r="A685" s="2" t="s">
        <v>1531</v>
      </c>
      <c r="B685" s="2" t="s">
        <v>1905</v>
      </c>
      <c r="C685" s="2" t="s">
        <v>1906</v>
      </c>
    </row>
    <row r="686" spans="1:3" x14ac:dyDescent="0.25">
      <c r="A686" s="2" t="s">
        <v>1907</v>
      </c>
      <c r="B686" s="2" t="s">
        <v>1908</v>
      </c>
      <c r="C686" s="2" t="s">
        <v>1909</v>
      </c>
    </row>
    <row r="687" spans="1:3" x14ac:dyDescent="0.25">
      <c r="A687" s="2" t="s">
        <v>1910</v>
      </c>
      <c r="B687" s="2" t="s">
        <v>1911</v>
      </c>
      <c r="C687" s="2" t="s">
        <v>1912</v>
      </c>
    </row>
    <row r="688" spans="1:3" x14ac:dyDescent="0.25">
      <c r="A688" s="2" t="s">
        <v>1913</v>
      </c>
      <c r="B688" s="2" t="s">
        <v>1884</v>
      </c>
      <c r="C688" s="2" t="s">
        <v>1914</v>
      </c>
    </row>
    <row r="689" spans="1:3" x14ac:dyDescent="0.25">
      <c r="A689" s="2" t="s">
        <v>1915</v>
      </c>
      <c r="B689" s="2" t="s">
        <v>1916</v>
      </c>
      <c r="C689" s="2" t="s">
        <v>1917</v>
      </c>
    </row>
    <row r="690" spans="1:3" x14ac:dyDescent="0.25">
      <c r="A690" s="2" t="s">
        <v>1918</v>
      </c>
      <c r="B690" s="2" t="s">
        <v>1919</v>
      </c>
      <c r="C690" s="2" t="s">
        <v>1920</v>
      </c>
    </row>
    <row r="694" spans="1:3" x14ac:dyDescent="0.25">
      <c r="A694" s="20" t="s">
        <v>1921</v>
      </c>
      <c r="B694" s="17"/>
      <c r="C694" s="17"/>
    </row>
    <row r="695" spans="1:3" x14ac:dyDescent="0.25">
      <c r="A695" s="14" t="s">
        <v>735</v>
      </c>
      <c r="B695" s="14" t="s">
        <v>736</v>
      </c>
      <c r="C695" s="14" t="s">
        <v>737</v>
      </c>
    </row>
    <row r="696" spans="1:3" x14ac:dyDescent="0.25">
      <c r="A696" s="2" t="s">
        <v>518</v>
      </c>
      <c r="B696" s="2" t="s">
        <v>1922</v>
      </c>
      <c r="C696" s="2" t="s">
        <v>1923</v>
      </c>
    </row>
    <row r="697" spans="1:3" x14ac:dyDescent="0.25">
      <c r="A697" s="2" t="s">
        <v>1924</v>
      </c>
      <c r="B697" s="2" t="s">
        <v>1925</v>
      </c>
      <c r="C697" s="2" t="s">
        <v>1926</v>
      </c>
    </row>
    <row r="698" spans="1:3" x14ac:dyDescent="0.25">
      <c r="A698" s="2" t="s">
        <v>1927</v>
      </c>
      <c r="B698" s="2" t="s">
        <v>1928</v>
      </c>
      <c r="C698" s="2" t="s">
        <v>463</v>
      </c>
    </row>
    <row r="699" spans="1:3" x14ac:dyDescent="0.25">
      <c r="A699" s="2" t="s">
        <v>1929</v>
      </c>
      <c r="B699" s="2" t="s">
        <v>1930</v>
      </c>
      <c r="C699" s="2" t="s">
        <v>1931</v>
      </c>
    </row>
    <row r="700" spans="1:3" x14ac:dyDescent="0.25">
      <c r="A700" s="2" t="s">
        <v>1932</v>
      </c>
      <c r="B700" s="2" t="s">
        <v>1933</v>
      </c>
      <c r="C700" s="2" t="s">
        <v>1934</v>
      </c>
    </row>
    <row r="701" spans="1:3" x14ac:dyDescent="0.25">
      <c r="A701" s="2" t="s">
        <v>1169</v>
      </c>
      <c r="B701" s="2" t="s">
        <v>1170</v>
      </c>
      <c r="C701" s="2" t="s">
        <v>1935</v>
      </c>
    </row>
    <row r="702" spans="1:3" x14ac:dyDescent="0.25">
      <c r="A702" s="2" t="s">
        <v>1936</v>
      </c>
      <c r="B702" s="2" t="s">
        <v>1154</v>
      </c>
      <c r="C702" s="2" t="s">
        <v>1937</v>
      </c>
    </row>
    <row r="703" spans="1:3" x14ac:dyDescent="0.25">
      <c r="A703" s="2" t="s">
        <v>1938</v>
      </c>
      <c r="B703" s="2" t="s">
        <v>1939</v>
      </c>
      <c r="C703" s="2" t="s">
        <v>1940</v>
      </c>
    </row>
    <row r="704" spans="1:3" x14ac:dyDescent="0.25">
      <c r="A704" s="2" t="s">
        <v>1941</v>
      </c>
      <c r="B704" s="2" t="s">
        <v>1942</v>
      </c>
      <c r="C704" s="2" t="s">
        <v>1943</v>
      </c>
    </row>
    <row r="705" spans="1:4" x14ac:dyDescent="0.25">
      <c r="A705" s="2" t="s">
        <v>1944</v>
      </c>
      <c r="B705" s="2" t="s">
        <v>1173</v>
      </c>
      <c r="C705" s="2" t="s">
        <v>472</v>
      </c>
    </row>
    <row r="706" spans="1:4" x14ac:dyDescent="0.25">
      <c r="A706" s="2" t="s">
        <v>1945</v>
      </c>
      <c r="B706" s="2" t="s">
        <v>1946</v>
      </c>
      <c r="C706" s="2" t="s">
        <v>1947</v>
      </c>
    </row>
    <row r="707" spans="1:4" x14ac:dyDescent="0.25">
      <c r="A707" s="2" t="s">
        <v>1948</v>
      </c>
      <c r="B707" s="2" t="s">
        <v>1949</v>
      </c>
      <c r="C707" s="2" t="s">
        <v>1950</v>
      </c>
    </row>
    <row r="708" spans="1:4" x14ac:dyDescent="0.25">
      <c r="A708" s="2" t="s">
        <v>1951</v>
      </c>
      <c r="B708" s="2" t="s">
        <v>1952</v>
      </c>
      <c r="C708" s="2" t="s">
        <v>1953</v>
      </c>
    </row>
    <row r="709" spans="1:4" x14ac:dyDescent="0.25">
      <c r="A709" s="2" t="s">
        <v>1954</v>
      </c>
      <c r="B709" s="2" t="s">
        <v>1955</v>
      </c>
      <c r="C709" s="2" t="s">
        <v>1956</v>
      </c>
    </row>
    <row r="710" spans="1:4" x14ac:dyDescent="0.25">
      <c r="A710" s="2" t="s">
        <v>1957</v>
      </c>
      <c r="B710" s="2" t="s">
        <v>1958</v>
      </c>
      <c r="C710" s="2" t="s">
        <v>54</v>
      </c>
    </row>
    <row r="714" spans="1:4" x14ac:dyDescent="0.25">
      <c r="A714" s="2" t="s">
        <v>1959</v>
      </c>
      <c r="B714" s="2" t="s">
        <v>1960</v>
      </c>
      <c r="C714" s="2"/>
      <c r="D714" s="2"/>
    </row>
    <row r="715" spans="1:4" x14ac:dyDescent="0.25">
      <c r="A715" s="2" t="s">
        <v>1961</v>
      </c>
      <c r="B715" s="2"/>
      <c r="C715" s="2"/>
      <c r="D715" s="2"/>
    </row>
    <row r="716" spans="1:4" x14ac:dyDescent="0.25">
      <c r="A716" s="2" t="s">
        <v>1962</v>
      </c>
      <c r="B716" s="2"/>
      <c r="C716" s="2"/>
      <c r="D716" s="2"/>
    </row>
    <row r="717" spans="1:4" x14ac:dyDescent="0.25">
      <c r="A717" s="2" t="s">
        <v>1963</v>
      </c>
      <c r="B717" s="2"/>
      <c r="C717" s="2"/>
      <c r="D717" s="2"/>
    </row>
    <row r="718" spans="1:4" x14ac:dyDescent="0.25">
      <c r="A718" s="2" t="s">
        <v>1964</v>
      </c>
      <c r="B718" s="2"/>
      <c r="C718" s="2"/>
      <c r="D718" s="2"/>
    </row>
    <row r="719" spans="1:4" x14ac:dyDescent="0.25">
      <c r="A719" s="2" t="s">
        <v>1055</v>
      </c>
      <c r="B719" s="2"/>
      <c r="C719" s="2"/>
      <c r="D719" s="2"/>
    </row>
    <row r="720" spans="1:4" x14ac:dyDescent="0.25">
      <c r="A720" s="2" t="s">
        <v>507</v>
      </c>
      <c r="B720" s="2"/>
      <c r="C720" s="2"/>
      <c r="D720" s="2"/>
    </row>
    <row r="721" spans="1:4" x14ac:dyDescent="0.25">
      <c r="A721" s="2" t="s">
        <v>1965</v>
      </c>
      <c r="B721" s="2"/>
      <c r="C721" s="2"/>
      <c r="D721" s="2"/>
    </row>
    <row r="722" spans="1:4" x14ac:dyDescent="0.25">
      <c r="A722" s="2" t="s">
        <v>1966</v>
      </c>
      <c r="B722" s="2"/>
      <c r="C722" s="2"/>
      <c r="D722" s="2"/>
    </row>
    <row r="723" spans="1:4" x14ac:dyDescent="0.25">
      <c r="A723" s="2" t="s">
        <v>133</v>
      </c>
      <c r="B723" s="2"/>
      <c r="C723" s="2"/>
      <c r="D723" s="2"/>
    </row>
    <row r="724" spans="1:4" x14ac:dyDescent="0.25">
      <c r="A724" s="2" t="s">
        <v>135</v>
      </c>
      <c r="B724" s="2"/>
      <c r="C724" s="2"/>
      <c r="D724" s="2"/>
    </row>
    <row r="725" spans="1:4" x14ac:dyDescent="0.25">
      <c r="A725" s="2" t="s">
        <v>137</v>
      </c>
      <c r="B725" s="2"/>
      <c r="C725" s="2"/>
      <c r="D725" s="2"/>
    </row>
    <row r="726" spans="1:4" x14ac:dyDescent="0.25">
      <c r="A726" s="2" t="s">
        <v>1967</v>
      </c>
      <c r="B726" s="2"/>
      <c r="C726" s="2"/>
      <c r="D726" s="2"/>
    </row>
    <row r="727" spans="1:4" x14ac:dyDescent="0.25">
      <c r="A727" s="2" t="s">
        <v>139</v>
      </c>
      <c r="B727" s="2"/>
      <c r="C727" s="2"/>
      <c r="D727" s="2"/>
    </row>
    <row r="728" spans="1:4" x14ac:dyDescent="0.25">
      <c r="A728" s="2" t="s">
        <v>1091</v>
      </c>
      <c r="B728" s="2"/>
      <c r="C728" s="2"/>
      <c r="D728" s="2"/>
    </row>
    <row r="729" spans="1:4" x14ac:dyDescent="0.25">
      <c r="A729" s="2" t="s">
        <v>1968</v>
      </c>
      <c r="B729" s="2"/>
      <c r="C729" s="2"/>
      <c r="D729" s="2"/>
    </row>
    <row r="730" spans="1:4" x14ac:dyDescent="0.25">
      <c r="A730" s="2" t="s">
        <v>1064</v>
      </c>
      <c r="B730" s="2"/>
      <c r="C730" s="2"/>
      <c r="D730" s="2"/>
    </row>
    <row r="731" spans="1:4" x14ac:dyDescent="0.25">
      <c r="A731" s="2" t="s">
        <v>1969</v>
      </c>
      <c r="B731" s="2"/>
      <c r="C731" s="2"/>
      <c r="D731" s="2"/>
    </row>
    <row r="732" spans="1:4" x14ac:dyDescent="0.25">
      <c r="A732" s="2" t="s">
        <v>143</v>
      </c>
      <c r="B732" s="2"/>
      <c r="C732" s="2"/>
      <c r="D732" s="2"/>
    </row>
    <row r="733" spans="1:4" x14ac:dyDescent="0.25">
      <c r="A733" s="2" t="s">
        <v>1029</v>
      </c>
      <c r="B733" s="2"/>
      <c r="C733" s="2"/>
      <c r="D733" s="2"/>
    </row>
  </sheetData>
  <mergeCells count="41">
    <mergeCell ref="A694:C694"/>
    <mergeCell ref="A1:I1"/>
    <mergeCell ref="A306:D306"/>
    <mergeCell ref="A583:G583"/>
    <mergeCell ref="A248:D248"/>
    <mergeCell ref="A677:C677"/>
    <mergeCell ref="A393:D393"/>
    <mergeCell ref="A269:D269"/>
    <mergeCell ref="A374:D374"/>
    <mergeCell ref="A639:G639"/>
    <mergeCell ref="A246:H246"/>
    <mergeCell ref="A198:E198"/>
    <mergeCell ref="A142:G142"/>
    <mergeCell ref="A513:F513"/>
    <mergeCell ref="A325:D325"/>
    <mergeCell ref="A585:G585"/>
    <mergeCell ref="A427:D427"/>
    <mergeCell ref="A463:D463"/>
    <mergeCell ref="A364:D364"/>
    <mergeCell ref="A559:F559"/>
    <mergeCell ref="A222:C222"/>
    <mergeCell ref="A511:F511"/>
    <mergeCell ref="A546:F546"/>
    <mergeCell ref="A474:D474"/>
    <mergeCell ref="A600:G600"/>
    <mergeCell ref="A110:E110"/>
    <mergeCell ref="A621:G621"/>
    <mergeCell ref="A488:H488"/>
    <mergeCell ref="A533:F533"/>
    <mergeCell ref="A289:D289"/>
    <mergeCell ref="A338:D338"/>
    <mergeCell ref="A352:D352"/>
    <mergeCell ref="A412:D412"/>
    <mergeCell ref="A186:G186"/>
    <mergeCell ref="A574:F574"/>
    <mergeCell ref="A125:F125"/>
    <mergeCell ref="A172:F172"/>
    <mergeCell ref="A433:D433"/>
    <mergeCell ref="A98:E98"/>
    <mergeCell ref="A445:D445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Sting Davis</cp:lastModifiedBy>
  <dcterms:created xsi:type="dcterms:W3CDTF">2025-11-14T04:16:24Z</dcterms:created>
  <dcterms:modified xsi:type="dcterms:W3CDTF">2025-11-14T08:25:46Z</dcterms:modified>
</cp:coreProperties>
</file>