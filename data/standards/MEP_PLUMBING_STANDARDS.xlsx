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EP_Template_Development\01_EXCEL_TEMPLATES\"/>
    </mc:Choice>
  </mc:AlternateContent>
  <xr:revisionPtr revIDLastSave="0" documentId="13_ncr:1_{26E3E50A-E742-4C3C-B13E-3938AB000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XTURE CALCULATIONS" sheetId="1" r:id="rId1"/>
    <sheet name="PLUMBING CODES" sheetId="2" r:id="rId2"/>
  </sheets>
  <calcPr calcId="181029"/>
</workbook>
</file>

<file path=xl/calcChain.xml><?xml version="1.0" encoding="utf-8"?>
<calcChain xmlns="http://schemas.openxmlformats.org/spreadsheetml/2006/main">
  <c r="B130" i="1" l="1"/>
  <c r="B129" i="1"/>
  <c r="B128" i="1"/>
  <c r="C107" i="1"/>
  <c r="C106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E58" i="1"/>
  <c r="E59" i="1" s="1"/>
  <c r="E57" i="1"/>
  <c r="E56" i="1"/>
  <c r="B42" i="1"/>
  <c r="B45" i="1" s="1"/>
  <c r="B38" i="1"/>
  <c r="B37" i="1"/>
  <c r="E35" i="1"/>
  <c r="E36" i="1" s="1"/>
  <c r="E37" i="1" s="1"/>
  <c r="G17" i="1"/>
  <c r="B52" i="1" s="1"/>
  <c r="F17" i="1"/>
  <c r="B20" i="1" s="1"/>
  <c r="B21" i="1" s="1"/>
  <c r="B23" i="1" s="1"/>
  <c r="B24" i="1" s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B55" i="1" l="1"/>
  <c r="B54" i="1"/>
  <c r="B56" i="1"/>
  <c r="B53" i="1"/>
</calcChain>
</file>

<file path=xl/sharedStrings.xml><?xml version="1.0" encoding="utf-8"?>
<sst xmlns="http://schemas.openxmlformats.org/spreadsheetml/2006/main" count="2450" uniqueCount="1538">
  <si>
    <t>UGANDA PLUMBING - FIXTURE UNIT CALCULATIONS</t>
  </si>
  <si>
    <t>ISO 15874/6708 &amp; Uganda Standards Compliant</t>
  </si>
  <si>
    <t>FIXTURE UNIT CALCULATOR</t>
  </si>
  <si>
    <t>Fixture Type</t>
  </si>
  <si>
    <t>Quantity</t>
  </si>
  <si>
    <t>WSFU (Cold)</t>
  </si>
  <si>
    <t>WSFU (Hot)</t>
  </si>
  <si>
    <t>DFU</t>
  </si>
  <si>
    <t>Total WSFU</t>
  </si>
  <si>
    <t>Total DFU</t>
  </si>
  <si>
    <t>Water Closet (Tank)</t>
  </si>
  <si>
    <t>Water Closet (Flush Valve)</t>
  </si>
  <si>
    <t>Lavatory</t>
  </si>
  <si>
    <t>Kitchen Sink</t>
  </si>
  <si>
    <t>Shower</t>
  </si>
  <si>
    <t>Bathtub</t>
  </si>
  <si>
    <t>Urinal (Flush Valve)</t>
  </si>
  <si>
    <t>Floor Drain</t>
  </si>
  <si>
    <t>Drinking Fountain</t>
  </si>
  <si>
    <t>Hose Bibb</t>
  </si>
  <si>
    <t>TOTALS:</t>
  </si>
  <si>
    <t>PIPE SIZE CALCULATOR</t>
  </si>
  <si>
    <t>Total WSFU:</t>
  </si>
  <si>
    <t>Estimated GPM (Hunter Curve):</t>
  </si>
  <si>
    <t>Velocity (fps):</t>
  </si>
  <si>
    <t>Required Pipe Size (inches):</t>
  </si>
  <si>
    <t>Selected Nominal Size (inches):</t>
  </si>
  <si>
    <t>WATER SUPPLY &amp; STORAGE CALCULATIONS</t>
  </si>
  <si>
    <t>NWSC Standards Compliant</t>
  </si>
  <si>
    <t>WATER TANK SIZING CALCULATOR</t>
  </si>
  <si>
    <t>PUMP SIZING CALCULATOR</t>
  </si>
  <si>
    <t>Building Type:</t>
  </si>
  <si>
    <t>Residential</t>
  </si>
  <si>
    <t>Flow Rate (L/min):</t>
  </si>
  <si>
    <t>Number of Units/People:</t>
  </si>
  <si>
    <t>Static Head (m):</t>
  </si>
  <si>
    <t>Daily Consumption (L/person):</t>
  </si>
  <si>
    <t>Friction Head (m):</t>
  </si>
  <si>
    <t>Days of Storage:</t>
  </si>
  <si>
    <t>Total Dynamic Head (m):</t>
  </si>
  <si>
    <t>Fire Reserve (L):</t>
  </si>
  <si>
    <t>Pump Power (kW):</t>
  </si>
  <si>
    <t>Total Tank Capacity (L):</t>
  </si>
  <si>
    <t>Selected Motor (kW):</t>
  </si>
  <si>
    <t>Tank Capacity (m³):</t>
  </si>
  <si>
    <t>PRESSURE CALCULATIONS</t>
  </si>
  <si>
    <t>Building Height (m):</t>
  </si>
  <si>
    <t>Static Pressure (bar):</t>
  </si>
  <si>
    <t>Friction Loss (bar):</t>
  </si>
  <si>
    <t>Residual Pressure Required (bar):</t>
  </si>
  <si>
    <t>Total Pressure Required (bar):</t>
  </si>
  <si>
    <t>DRAINAGE &amp; SEWERAGE CALCULATIONS</t>
  </si>
  <si>
    <t>ISO 6708 &amp; NWSC Standards Compliant</t>
  </si>
  <si>
    <t>DRAINAGE SYSTEM CALCULATOR</t>
  </si>
  <si>
    <t>SEPTIC TANK SIZING</t>
  </si>
  <si>
    <t>Total DFU:</t>
  </si>
  <si>
    <t>Number of People:</t>
  </si>
  <si>
    <t>Stack Size (inches):</t>
  </si>
  <si>
    <t>Wastewater per Person (L/day):</t>
  </si>
  <si>
    <t>Building Drain @ 1% Slope (inches):</t>
  </si>
  <si>
    <t>Retention Time (days):</t>
  </si>
  <si>
    <t>Building Drain @ 2% Slope (inches):</t>
  </si>
  <si>
    <t>Sludge Storage (days):</t>
  </si>
  <si>
    <t>Building Drain @ 4% Slope (inches):</t>
  </si>
  <si>
    <t>Tank Working Volume (L):</t>
  </si>
  <si>
    <t>Sludge Volume (L):</t>
  </si>
  <si>
    <t>Total Tank Volume (L):</t>
  </si>
  <si>
    <t>Tank Volume (m³):</t>
  </si>
  <si>
    <t>UGANDA PLUMBING DESIGN &amp; CALCULATIONS</t>
  </si>
  <si>
    <t>Formulas, Sizing Tables &amp; Load Calculations - ISO 19650 Compliant</t>
  </si>
  <si>
    <t>UGANDA DESIGN CONSTANTS</t>
  </si>
  <si>
    <t>Parameter</t>
  </si>
  <si>
    <t>Symbol</t>
  </si>
  <si>
    <t>Value</t>
  </si>
  <si>
    <t>Unit</t>
  </si>
  <si>
    <t>Notes</t>
  </si>
  <si>
    <t>Gravity (g)</t>
  </si>
  <si>
    <t>g</t>
  </si>
  <si>
    <t>m/s²</t>
  </si>
  <si>
    <t>Standard acceleration</t>
  </si>
  <si>
    <t>Water Density (ρ)</t>
  </si>
  <si>
    <t>ρ</t>
  </si>
  <si>
    <t>kg/m³</t>
  </si>
  <si>
    <t>At 20°C</t>
  </si>
  <si>
    <t>NWSC Supply Pressure (min)</t>
  </si>
  <si>
    <t>P_min</t>
  </si>
  <si>
    <t>kPa</t>
  </si>
  <si>
    <t>Minimum at connection</t>
  </si>
  <si>
    <t>NWSC Supply Pressure (max)</t>
  </si>
  <si>
    <t>P_max</t>
  </si>
  <si>
    <t>Maximum at connection</t>
  </si>
  <si>
    <t>Mains Water Temperature</t>
  </si>
  <si>
    <t>T_cold</t>
  </si>
  <si>
    <t>°C</t>
  </si>
  <si>
    <t>Ground water temperature</t>
  </si>
  <si>
    <t>Hot Water Storage Temp</t>
  </si>
  <si>
    <t>T_store</t>
  </si>
  <si>
    <t>Legionella prevention</t>
  </si>
  <si>
    <t>Hot Water Distribution Temp</t>
  </si>
  <si>
    <t>T_hot</t>
  </si>
  <si>
    <t>At outlet within 1 min</t>
  </si>
  <si>
    <t>Kampala Annual Rainfall</t>
  </si>
  <si>
    <t>R_annual</t>
  </si>
  <si>
    <t>mm/year</t>
  </si>
  <si>
    <t>Average (1200-1400)</t>
  </si>
  <si>
    <t>Design Storm Intensity</t>
  </si>
  <si>
    <t>I_storm</t>
  </si>
  <si>
    <t>mm/hr</t>
  </si>
  <si>
    <t>10-minute design storm</t>
  </si>
  <si>
    <t>Domestic Water Consumption</t>
  </si>
  <si>
    <t>Q_dom</t>
  </si>
  <si>
    <t>L/person/day</t>
  </si>
  <si>
    <t>Residential (100-150)</t>
  </si>
  <si>
    <t>Office Water Consumption</t>
  </si>
  <si>
    <t>Q_office</t>
  </si>
  <si>
    <t>Working hours (40-60)</t>
  </si>
  <si>
    <t>Hospital Water Consumption</t>
  </si>
  <si>
    <t>Q_hospital</t>
  </si>
  <si>
    <t>L/bed/day</t>
  </si>
  <si>
    <t>Healthcare (200-400)</t>
  </si>
  <si>
    <t>School Water Consumption</t>
  </si>
  <si>
    <t>Q_school</t>
  </si>
  <si>
    <t>L/student/day</t>
  </si>
  <si>
    <t>Primary/Secondary</t>
  </si>
  <si>
    <t>Storage Duration (minimum)</t>
  </si>
  <si>
    <t>T_storage</t>
  </si>
  <si>
    <t>hours</t>
  </si>
  <si>
    <t>Building Code requirement</t>
  </si>
  <si>
    <t>Storage Duration (typical)</t>
  </si>
  <si>
    <t>T_typical</t>
  </si>
  <si>
    <t>Recommended for Uganda</t>
  </si>
  <si>
    <t>PPR Expansion Coefficient</t>
  </si>
  <si>
    <t>α_PPR</t>
  </si>
  <si>
    <t>1/K</t>
  </si>
  <si>
    <t>Linear thermal expansion</t>
  </si>
  <si>
    <t>CPVC Expansion Coefficient</t>
  </si>
  <si>
    <t>α_CPVC</t>
  </si>
  <si>
    <t>PEX Expansion Coefficient</t>
  </si>
  <si>
    <t>α_PEX</t>
  </si>
  <si>
    <t>Max Water Velocity</t>
  </si>
  <si>
    <t>v_max</t>
  </si>
  <si>
    <t>m/s</t>
  </si>
  <si>
    <t>To prevent noise/erosion</t>
  </si>
  <si>
    <t>Min Pipe Slope (Gravity)</t>
  </si>
  <si>
    <t>s_min</t>
  </si>
  <si>
    <t>%</t>
  </si>
  <si>
    <t>Drainage minimum 1:100</t>
  </si>
  <si>
    <t>WATER PIPE SIZING TABLE (ISO 19650 COMPLIANT)</t>
  </si>
  <si>
    <t>Nominal Size</t>
  </si>
  <si>
    <t>DN (mm)</t>
  </si>
  <si>
    <t>OD (mm)</t>
  </si>
  <si>
    <t>ID (mm)</t>
  </si>
  <si>
    <t>Max Flow (L/s)</t>
  </si>
  <si>
    <t>Max Velocity (m/s)</t>
  </si>
  <si>
    <t>Pressure Loss (kPa/m)</t>
  </si>
  <si>
    <t>Application</t>
  </si>
  <si>
    <t>15mm</t>
  </si>
  <si>
    <t>Small fixtures</t>
  </si>
  <si>
    <t>20mm</t>
  </si>
  <si>
    <t>Single fixtures</t>
  </si>
  <si>
    <t>25mm</t>
  </si>
  <si>
    <t>Multiple fixtures</t>
  </si>
  <si>
    <t>32mm</t>
  </si>
  <si>
    <t>Small branches</t>
  </si>
  <si>
    <t>40mm</t>
  </si>
  <si>
    <t>Large branches</t>
  </si>
  <si>
    <t>50mm</t>
  </si>
  <si>
    <t>Sub-mains</t>
  </si>
  <si>
    <t>65mm</t>
  </si>
  <si>
    <t>Distribution</t>
  </si>
  <si>
    <t>80mm</t>
  </si>
  <si>
    <t>Main distribution</t>
  </si>
  <si>
    <t>100mm</t>
  </si>
  <si>
    <t>Mains</t>
  </si>
  <si>
    <t>125mm</t>
  </si>
  <si>
    <t>Large mains</t>
  </si>
  <si>
    <t>150mm</t>
  </si>
  <si>
    <t>Primary mains</t>
  </si>
  <si>
    <t>FIXTURE UNIT LOAD CALCULATIONS</t>
  </si>
  <si>
    <t>Total Fixture Units</t>
  </si>
  <si>
    <t>Flow Rate (L/s)</t>
  </si>
  <si>
    <t>Formula Used</t>
  </si>
  <si>
    <t>Enter Total FU:</t>
  </si>
  <si>
    <t>Hunter's Curve: Q = 0.3√FU (Residential)</t>
  </si>
  <si>
    <t>Commercial/Public:</t>
  </si>
  <si>
    <t>Commercial: Q = 0.5√FU (Higher simultaneity)</t>
  </si>
  <si>
    <t>DRAINAGE PIPE SIZING (Gravity Flow)</t>
  </si>
  <si>
    <t>Pipe Size (mm)</t>
  </si>
  <si>
    <t>Max DFU (1% slope)</t>
  </si>
  <si>
    <t>Max DFU (2% slope)</t>
  </si>
  <si>
    <t>Max DFU (4% slope)</t>
  </si>
  <si>
    <t>Single fixture branch</t>
  </si>
  <si>
    <t>Small branch</t>
  </si>
  <si>
    <t>Branch drain</t>
  </si>
  <si>
    <t>Building drain/stack</t>
  </si>
  <si>
    <t>Main building drain</t>
  </si>
  <si>
    <t>Large building sewer</t>
  </si>
  <si>
    <t>Site drainage main</t>
  </si>
  <si>
    <t>Input Parameters</t>
  </si>
  <si>
    <t>Flow Rate Required (L/s):</t>
  </si>
  <si>
    <t>Q</t>
  </si>
  <si>
    <t>H_static</t>
  </si>
  <si>
    <t>Friction Loss (m):</t>
  </si>
  <si>
    <t>H_friction</t>
  </si>
  <si>
    <t>Pump Efficiency (%):</t>
  </si>
  <si>
    <t>η</t>
  </si>
  <si>
    <t>Calculated Results</t>
  </si>
  <si>
    <t>Total Head (m):</t>
  </si>
  <si>
    <t>H_total = H_static + H_friction</t>
  </si>
  <si>
    <t>Required Power (kW):</t>
  </si>
  <si>
    <t>P = ρgQH/η</t>
  </si>
  <si>
    <t>Recommended Motor (kW):</t>
  </si>
  <si>
    <t>20% safety factor</t>
  </si>
  <si>
    <t>Source</t>
  </si>
  <si>
    <t>Standard</t>
  </si>
  <si>
    <t>Gravity</t>
  </si>
  <si>
    <t>9.81</t>
  </si>
  <si>
    <t>Universal</t>
  </si>
  <si>
    <t>All calculations</t>
  </si>
  <si>
    <t>SI</t>
  </si>
  <si>
    <t>Water Density</t>
  </si>
  <si>
    <t>1000</t>
  </si>
  <si>
    <t>Pressure/flow</t>
  </si>
  <si>
    <t>200</t>
  </si>
  <si>
    <t>kPa (2 bar)</t>
  </si>
  <si>
    <t>NWSC</t>
  </si>
  <si>
    <t>Design minimum</t>
  </si>
  <si>
    <t>At connection</t>
  </si>
  <si>
    <t>NWSC-001</t>
  </si>
  <si>
    <t>400</t>
  </si>
  <si>
    <t>kPa (4 bar)</t>
  </si>
  <si>
    <t>Design maximum</t>
  </si>
  <si>
    <t>20-25</t>
  </si>
  <si>
    <t>Uganda avg</t>
  </si>
  <si>
    <t>Cold supply</t>
  </si>
  <si>
    <t>Ground water temp</t>
  </si>
  <si>
    <t>Local</t>
  </si>
  <si>
    <t>60-65</t>
  </si>
  <si>
    <t>Uganda practice</t>
  </si>
  <si>
    <t>Water heaters</t>
  </si>
  <si>
    <t>NWSC-002</t>
  </si>
  <si>
    <t>50-55</t>
  </si>
  <si>
    <t>Safety code</t>
  </si>
  <si>
    <t>Tap outlet</t>
  </si>
  <si>
    <t>Within 1 minute</t>
  </si>
  <si>
    <t>R</t>
  </si>
  <si>
    <t>1200-1400</t>
  </si>
  <si>
    <t>UBOS</t>
  </si>
  <si>
    <t>Drainage design</t>
  </si>
  <si>
    <t>Average range</t>
  </si>
  <si>
    <t>I</t>
  </si>
  <si>
    <t>150</t>
  </si>
  <si>
    <t>Storm drainage</t>
  </si>
  <si>
    <t>10-minute storm</t>
  </si>
  <si>
    <t>NWSC-004</t>
  </si>
  <si>
    <t>100-150</t>
  </si>
  <si>
    <t>Uganda standard</t>
  </si>
  <si>
    <t>Urban average</t>
  </si>
  <si>
    <t>NWSC-003</t>
  </si>
  <si>
    <t>40-60</t>
  </si>
  <si>
    <t>Commercial</t>
  </si>
  <si>
    <t>Working hours</t>
  </si>
  <si>
    <t>Q_hosp</t>
  </si>
  <si>
    <t>200-400</t>
  </si>
  <si>
    <t>MOH</t>
  </si>
  <si>
    <t>Healthcare</t>
  </si>
  <si>
    <t>Per patient bed</t>
  </si>
  <si>
    <t>MOH Standard</t>
  </si>
  <si>
    <t>20-30</t>
  </si>
  <si>
    <t>Min. Education</t>
  </si>
  <si>
    <t>Schools</t>
  </si>
  <si>
    <t>Education Std</t>
  </si>
  <si>
    <t>t_min</t>
  </si>
  <si>
    <t>24</t>
  </si>
  <si>
    <t>Building code</t>
  </si>
  <si>
    <t>All buildings</t>
  </si>
  <si>
    <t>Minimum required</t>
  </si>
  <si>
    <t>t_typ</t>
  </si>
  <si>
    <t>48</t>
  </si>
  <si>
    <t>Recommended</t>
  </si>
  <si>
    <t>1.5×10⁻⁴</t>
  </si>
  <si>
    <t>ISO 15874</t>
  </si>
  <si>
    <t>Thermal expansion</t>
  </si>
  <si>
    <t>0.15 mm/m/°C</t>
  </si>
  <si>
    <t>2.5</t>
  </si>
  <si>
    <t>Pipe sizing</t>
  </si>
  <si>
    <t>Noise limit</t>
  </si>
  <si>
    <t>Min Water Velocity</t>
  </si>
  <si>
    <t>v_min</t>
  </si>
  <si>
    <t>0.6</t>
  </si>
  <si>
    <t>ISO 6708</t>
  </si>
  <si>
    <t>Drainage</t>
  </si>
  <si>
    <t>Self-cleansing</t>
  </si>
  <si>
    <t>WATER PIPE SIZING TABLE</t>
  </si>
  <si>
    <t>15</t>
  </si>
  <si>
    <t>21.3</t>
  </si>
  <si>
    <t>15.8</t>
  </si>
  <si>
    <t>0.5</t>
  </si>
  <si>
    <t>12</t>
  </si>
  <si>
    <t>20</t>
  </si>
  <si>
    <t>26.9</t>
  </si>
  <si>
    <t>20.9</t>
  </si>
  <si>
    <t>0.9</t>
  </si>
  <si>
    <t>8</t>
  </si>
  <si>
    <t>25</t>
  </si>
  <si>
    <t>33.7</t>
  </si>
  <si>
    <t>27.7</t>
  </si>
  <si>
    <t>1.5</t>
  </si>
  <si>
    <t>5</t>
  </si>
  <si>
    <t>32</t>
  </si>
  <si>
    <t>42.4</t>
  </si>
  <si>
    <t>35</t>
  </si>
  <si>
    <t>3</t>
  </si>
  <si>
    <t>40</t>
  </si>
  <si>
    <t>48.3</t>
  </si>
  <si>
    <t>40.9</t>
  </si>
  <si>
    <t>3.5</t>
  </si>
  <si>
    <t>2</t>
  </si>
  <si>
    <t>50</t>
  </si>
  <si>
    <t>60.3</t>
  </si>
  <si>
    <t>52.5</t>
  </si>
  <si>
    <t>5.5</t>
  </si>
  <si>
    <t>1.2</t>
  </si>
  <si>
    <t>65</t>
  </si>
  <si>
    <t>76.1</t>
  </si>
  <si>
    <t>68.8</t>
  </si>
  <si>
    <t>9.5</t>
  </si>
  <si>
    <t>0.7</t>
  </si>
  <si>
    <t>80</t>
  </si>
  <si>
    <t>88.9</t>
  </si>
  <si>
    <t>80.8</t>
  </si>
  <si>
    <t>13</t>
  </si>
  <si>
    <t>100</t>
  </si>
  <si>
    <t>114.3</t>
  </si>
  <si>
    <t>105.1</t>
  </si>
  <si>
    <t>22</t>
  </si>
  <si>
    <t>0.3</t>
  </si>
  <si>
    <t>125</t>
  </si>
  <si>
    <t>139.7</t>
  </si>
  <si>
    <t>128.2</t>
  </si>
  <si>
    <t>0.2</t>
  </si>
  <si>
    <t>168.3</t>
  </si>
  <si>
    <t>154.1</t>
  </si>
  <si>
    <t>47</t>
  </si>
  <si>
    <t>0.12</t>
  </si>
  <si>
    <t>DESIGN FORMULAS</t>
  </si>
  <si>
    <t>Formula Name</t>
  </si>
  <si>
    <t>Formula</t>
  </si>
  <si>
    <t>Variables</t>
  </si>
  <si>
    <t>Example</t>
  </si>
  <si>
    <t>Units</t>
  </si>
  <si>
    <t>Flow Rate (Gravity)</t>
  </si>
  <si>
    <t>Q = A × √(2gh)</t>
  </si>
  <si>
    <t>Q=flow, A=area, g=9.81, h=head</t>
  </si>
  <si>
    <t>Gravity drainage</t>
  </si>
  <si>
    <t>Physics</t>
  </si>
  <si>
    <t>Q at h=3m</t>
  </si>
  <si>
    <t>m³/s</t>
  </si>
  <si>
    <t>Pipe Velocity</t>
  </si>
  <si>
    <t>v = Q / A</t>
  </si>
  <si>
    <t>v=velocity, Q=flow, A=cross-section</t>
  </si>
  <si>
    <t>Max 2.5 m/s</t>
  </si>
  <si>
    <t>Fluid Mech</t>
  </si>
  <si>
    <t>v=Q/πr²</t>
  </si>
  <si>
    <t>Head Loss (Darcy-Weisbach)</t>
  </si>
  <si>
    <t>h_f = f × (L/D) × (v²/2g)</t>
  </si>
  <si>
    <t>f=friction, L=length, D=diameter</t>
  </si>
  <si>
    <t>Pressure calculations</t>
  </si>
  <si>
    <t>All pipe types</t>
  </si>
  <si>
    <t>f≈0.02 for smooth</t>
  </si>
  <si>
    <t>m</t>
  </si>
  <si>
    <t>Hunter Curve</t>
  </si>
  <si>
    <t>Q = 0.17 × √(FU)</t>
  </si>
  <si>
    <t>Q=flow, FU=fixture units</t>
  </si>
  <si>
    <t>System sizing</t>
  </si>
  <si>
    <t>Cold water demand</t>
  </si>
  <si>
    <t>Hunter 1940</t>
  </si>
  <si>
    <t>Q at FU=100</t>
  </si>
  <si>
    <t>L/s</t>
  </si>
  <si>
    <t>Storage Tank Size</t>
  </si>
  <si>
    <t>V = N × D × S</t>
  </si>
  <si>
    <t>N=occupants, D=daily use, S=days</t>
  </si>
  <si>
    <t>Tank capacity</t>
  </si>
  <si>
    <t>Min 2 days storage</t>
  </si>
  <si>
    <t>V=100×150×2</t>
  </si>
  <si>
    <t>Liters</t>
  </si>
  <si>
    <t>Pump Total Head</t>
  </si>
  <si>
    <t>H = h_s + h_d + h_f + h_p</t>
  </si>
  <si>
    <t>h_s=suction, h_d=discharge, h_f=friction, h_p=pressure</t>
  </si>
  <si>
    <t>Pump selection</t>
  </si>
  <si>
    <t>Total dynamic head</t>
  </si>
  <si>
    <t>ISO 9906</t>
  </si>
  <si>
    <t>TDH calculation</t>
  </si>
  <si>
    <t>Peak Demand</t>
  </si>
  <si>
    <t>Q_p = K × Q_a</t>
  </si>
  <si>
    <t>Q_p=peak, K=factor(1.5-2.5), Q_a=average</t>
  </si>
  <si>
    <t>System capacity</t>
  </si>
  <si>
    <t>Uganda factor: 2.0</t>
  </si>
  <si>
    <t>Local practice</t>
  </si>
  <si>
    <t>K=2.0</t>
  </si>
  <si>
    <t>Pressure-Height</t>
  </si>
  <si>
    <t>P = ρ × g × h</t>
  </si>
  <si>
    <t>P=pressure, ρ=1000, g=9.81, h=height</t>
  </si>
  <si>
    <t>Static pressure</t>
  </si>
  <si>
    <t>Gravity head</t>
  </si>
  <si>
    <t>10m ≈ 98kPa</t>
  </si>
  <si>
    <t>Pa</t>
  </si>
  <si>
    <t>Hazen-Williams</t>
  </si>
  <si>
    <t>v = 0.849×C×R^0.63×S^0.54</t>
  </si>
  <si>
    <t>C=roughness, R=hydraulic radius, S=slope</t>
  </si>
  <si>
    <t>Head loss calc</t>
  </si>
  <si>
    <t>C=150 for PPR</t>
  </si>
  <si>
    <t>Empirical</t>
  </si>
  <si>
    <t>Pipe Expansion</t>
  </si>
  <si>
    <t>ΔL = α × L × ΔT</t>
  </si>
  <si>
    <t>α=coefficient, L=length, ΔT=temp change</t>
  </si>
  <si>
    <t>PPR α=0.00015</t>
  </si>
  <si>
    <t>ΔL at 50°C</t>
  </si>
  <si>
    <t>mm</t>
  </si>
  <si>
    <t>Drainage Capacity</t>
  </si>
  <si>
    <t>Q = A × v</t>
  </si>
  <si>
    <t>Q=capacity, A=pipe area, v=velocity</t>
  </si>
  <si>
    <t>Drain sizing</t>
  </si>
  <si>
    <t>Assumes full bore flow</t>
  </si>
  <si>
    <t>Q=πr²×v</t>
  </si>
  <si>
    <t>FIXTURE UNIT LOADING TABLE</t>
  </si>
  <si>
    <t>Cold Water (FU)</t>
  </si>
  <si>
    <t>Hot Water (FU)</t>
  </si>
  <si>
    <t>Drainage (DFU)</t>
  </si>
  <si>
    <t>Min Supply (mm)</t>
  </si>
  <si>
    <t>Min Drain (mm)</t>
  </si>
  <si>
    <t>Usage Factor</t>
  </si>
  <si>
    <t>Water Closet (WC)</t>
  </si>
  <si>
    <t>-</t>
  </si>
  <si>
    <t>4</t>
  </si>
  <si>
    <t>1.0</t>
  </si>
  <si>
    <t>Flush valve=6 FU</t>
  </si>
  <si>
    <t>Wash Hand Basin</t>
  </si>
  <si>
    <t>1</t>
  </si>
  <si>
    <t>Standard basin</t>
  </si>
  <si>
    <t>0.8</t>
  </si>
  <si>
    <t>Single bowl</t>
  </si>
  <si>
    <t>Standard head</t>
  </si>
  <si>
    <t>Standard tub</t>
  </si>
  <si>
    <t>Urinal (flush valve)</t>
  </si>
  <si>
    <t>Per urinal</t>
  </si>
  <si>
    <t>Urinal (cistern)</t>
  </si>
  <si>
    <t>Bidet</t>
  </si>
  <si>
    <t>0.4</t>
  </si>
  <si>
    <t>Floor/wall type</t>
  </si>
  <si>
    <t>Dishwasher</t>
  </si>
  <si>
    <t>Domestic</t>
  </si>
  <si>
    <t>Washing Machine</t>
  </si>
  <si>
    <t>Service Sink</t>
  </si>
  <si>
    <t>Janitor/utility</t>
  </si>
  <si>
    <t>0.25</t>
  </si>
  <si>
    <t>10</t>
  </si>
  <si>
    <t>0.1</t>
  </si>
  <si>
    <t>Wall mount</t>
  </si>
  <si>
    <t>Hose Bib</t>
  </si>
  <si>
    <t>Outdoor tap</t>
  </si>
  <si>
    <t>Bar Sink</t>
  </si>
  <si>
    <t>Small sink</t>
  </si>
  <si>
    <t>Laboratory Sink</t>
  </si>
  <si>
    <t>Lab/medical</t>
  </si>
  <si>
    <t>PEAK DEMAND CALCULATION (Hunter Method)</t>
  </si>
  <si>
    <t>Total FU</t>
  </si>
  <si>
    <t>Flow (L/s)</t>
  </si>
  <si>
    <t>Flow (L/min)</t>
  </si>
  <si>
    <t>Velocity (m/s)</t>
  </si>
  <si>
    <t>Building Type</t>
  </si>
  <si>
    <t>Diversity Factor</t>
  </si>
  <si>
    <t>Usage</t>
  </si>
  <si>
    <t>1-3</t>
  </si>
  <si>
    <t>2.0</t>
  </si>
  <si>
    <t>Single fixture</t>
  </si>
  <si>
    <t>Direct use</t>
  </si>
  <si>
    <t>4-6</t>
  </si>
  <si>
    <t>30</t>
  </si>
  <si>
    <t>2.1</t>
  </si>
  <si>
    <t>Small apartment</t>
  </si>
  <si>
    <t>1-2 bathroom</t>
  </si>
  <si>
    <t>7-12</t>
  </si>
  <si>
    <t>2.2</t>
  </si>
  <si>
    <t>House/apartment</t>
  </si>
  <si>
    <t>2-3 bathroom</t>
  </si>
  <si>
    <t>13-25</t>
  </si>
  <si>
    <t>1.3</t>
  </si>
  <si>
    <t>78</t>
  </si>
  <si>
    <t>Large house</t>
  </si>
  <si>
    <t>3-4 bathroom</t>
  </si>
  <si>
    <t>26-50</t>
  </si>
  <si>
    <t>132</t>
  </si>
  <si>
    <t>Building floor</t>
  </si>
  <si>
    <t>Multiple units</t>
  </si>
  <si>
    <t>51-100</t>
  </si>
  <si>
    <t>210</t>
  </si>
  <si>
    <t>Building riser</t>
  </si>
  <si>
    <t>Multi-floor</t>
  </si>
  <si>
    <t>101-200</t>
  </si>
  <si>
    <t>330</t>
  </si>
  <si>
    <t>Large building</t>
  </si>
  <si>
    <t>0.35</t>
  </si>
  <si>
    <t>10+ floors</t>
  </si>
  <si>
    <t>201-400</t>
  </si>
  <si>
    <t>8.5</t>
  </si>
  <si>
    <t>510</t>
  </si>
  <si>
    <t>Complex</t>
  </si>
  <si>
    <t>Multiple buildings</t>
  </si>
  <si>
    <t>401-800</t>
  </si>
  <si>
    <t>780</t>
  </si>
  <si>
    <t>Main supply</t>
  </si>
  <si>
    <t>Large complex</t>
  </si>
  <si>
    <t>801-1600</t>
  </si>
  <si>
    <t>1200</t>
  </si>
  <si>
    <t>1.9</t>
  </si>
  <si>
    <t>Campus/estate</t>
  </si>
  <si>
    <t>Very large</t>
  </si>
  <si>
    <t>DRAINAGE PIPE SIZING (DFU Method)</t>
  </si>
  <si>
    <t>Max DFU Horizontal</t>
  </si>
  <si>
    <t>Max DFU Vertical</t>
  </si>
  <si>
    <t>Max Fixtures</t>
  </si>
  <si>
    <t>Min Slope (%)</t>
  </si>
  <si>
    <t>Capacity (L/s)</t>
  </si>
  <si>
    <t>Material</t>
  </si>
  <si>
    <t>PVC/PPR</t>
  </si>
  <si>
    <t>6</t>
  </si>
  <si>
    <t>75</t>
  </si>
  <si>
    <t>4.0</t>
  </si>
  <si>
    <t>PVC</t>
  </si>
  <si>
    <t>160</t>
  </si>
  <si>
    <t>240</t>
  </si>
  <si>
    <t>8.0</t>
  </si>
  <si>
    <t>PVC/CI</t>
  </si>
  <si>
    <t>360</t>
  </si>
  <si>
    <t>540</t>
  </si>
  <si>
    <t>12.0</t>
  </si>
  <si>
    <t>620</t>
  </si>
  <si>
    <t>960</t>
  </si>
  <si>
    <t>130</t>
  </si>
  <si>
    <t>20.0</t>
  </si>
  <si>
    <t>1400</t>
  </si>
  <si>
    <t>2200</t>
  </si>
  <si>
    <t>250</t>
  </si>
  <si>
    <t>40.0</t>
  </si>
  <si>
    <t>CI</t>
  </si>
  <si>
    <t>UGANDA PLUMBING STANDARDS - FIXTURES, EQUIPMENT &amp; MATERIALS</t>
  </si>
  <si>
    <t>ISO 15874/6708 &amp; Uganda Standards - Complete Database</t>
  </si>
  <si>
    <t>PLUMBING FIXTURES</t>
  </si>
  <si>
    <t>ASSETMANAGEMENT_PRODUCT_CODE</t>
  </si>
  <si>
    <t>PROJECTINFO_DESCRIPTION_TXT</t>
  </si>
  <si>
    <t>PLUMBING_FIXTURE_FIXTURE_TYPE_WC_LAV_URN_SNK_SHW</t>
  </si>
  <si>
    <t>PLUMBING_FIXTURE_FLOWRATE_LPM</t>
  </si>
  <si>
    <t>PLUMBING_FIXTURE_WATERSUPPLYFIXTURE UNITS</t>
  </si>
  <si>
    <t>PLUMBING_FIXTURE_PRESSURE_KPA</t>
  </si>
  <si>
    <t>PLUMBING_PIPE_NOMINAL_SIZE_INCH</t>
  </si>
  <si>
    <t>DRAINAGE_PIPE_NOMINAL_SIZE_MM</t>
  </si>
  <si>
    <t>REGULATORY_UNBS_STANDARD_REFERENCE</t>
  </si>
  <si>
    <t>WC-FLUSH</t>
  </si>
  <si>
    <t>Water Closet - Flush Valve</t>
  </si>
  <si>
    <t>Toilet</t>
  </si>
  <si>
    <t>15-25</t>
  </si>
  <si>
    <t>WC-CISTERN</t>
  </si>
  <si>
    <t>Water Closet - Cistern Type</t>
  </si>
  <si>
    <t>10-15</t>
  </si>
  <si>
    <t>WC-PWD</t>
  </si>
  <si>
    <t>Water Closet - Power Assisted</t>
  </si>
  <si>
    <t>WC-WALL</t>
  </si>
  <si>
    <t>Water Closet - Wall Hung</t>
  </si>
  <si>
    <t>WC-SQUAT</t>
  </si>
  <si>
    <t>Water Closet - Squatting Pan</t>
  </si>
  <si>
    <t>15-20</t>
  </si>
  <si>
    <t>URN-FLUSH</t>
  </si>
  <si>
    <t>Urinal - Flush Valve</t>
  </si>
  <si>
    <t>Urinal</t>
  </si>
  <si>
    <t>URN-CISTERN</t>
  </si>
  <si>
    <t>Urinal - Cistern Type</t>
  </si>
  <si>
    <t>8-12</t>
  </si>
  <si>
    <t>URN-WATERLESS</t>
  </si>
  <si>
    <t>Urinal - Waterless</t>
  </si>
  <si>
    <t>0</t>
  </si>
  <si>
    <t>URN-WALL</t>
  </si>
  <si>
    <t>Urinal - Wall Mounted</t>
  </si>
  <si>
    <t>WHB</t>
  </si>
  <si>
    <t>Basin</t>
  </si>
  <si>
    <t>ISO 3822</t>
  </si>
  <si>
    <t>BARS</t>
  </si>
  <si>
    <t>Sink</t>
  </si>
  <si>
    <t>BATH</t>
  </si>
  <si>
    <t>Bathtub - Standard</t>
  </si>
  <si>
    <t>Bath</t>
  </si>
  <si>
    <t>FBATH</t>
  </si>
  <si>
    <t>Bathtub - Freestanding</t>
  </si>
  <si>
    <t>25-35</t>
  </si>
  <si>
    <t>JBATH</t>
  </si>
  <si>
    <t>Bathtub - Jacuzzi/Spa</t>
  </si>
  <si>
    <t>30-50</t>
  </si>
  <si>
    <t>SEMIB</t>
  </si>
  <si>
    <t>Semi-recessed Basin</t>
  </si>
  <si>
    <t>PEDB</t>
  </si>
  <si>
    <t>Pedestal Basin</t>
  </si>
  <si>
    <t>SHW</t>
  </si>
  <si>
    <t>Shower Head - Standard</t>
  </si>
  <si>
    <t>SHENC</t>
  </si>
  <si>
    <t>Shower Enclosure</t>
  </si>
  <si>
    <t>12-20</t>
  </si>
  <si>
    <t>KS</t>
  </si>
  <si>
    <t>Kitchen Sink - Single</t>
  </si>
  <si>
    <t>10-20</t>
  </si>
  <si>
    <t>KS-DBL</t>
  </si>
  <si>
    <t>Kitchen Sink - Double</t>
  </si>
  <si>
    <t>LABS</t>
  </si>
  <si>
    <t>DF</t>
  </si>
  <si>
    <t>Fountain</t>
  </si>
  <si>
    <t>5-10</t>
  </si>
  <si>
    <t>WM</t>
  </si>
  <si>
    <t>Appliance</t>
  </si>
  <si>
    <t>DW</t>
  </si>
  <si>
    <t>HT</t>
  </si>
  <si>
    <t>Hose Tap/Bib</t>
  </si>
  <si>
    <t>Outlet</t>
  </si>
  <si>
    <t>20-40</t>
  </si>
  <si>
    <t>N/A</t>
  </si>
  <si>
    <t>BDT</t>
  </si>
  <si>
    <t>CS</t>
  </si>
  <si>
    <t>Service</t>
  </si>
  <si>
    <t>PLUMBING EQUIPMENT</t>
  </si>
  <si>
    <t>Code</t>
  </si>
  <si>
    <t>Equipment Type</t>
  </si>
  <si>
    <t>Capacity</t>
  </si>
  <si>
    <t>Power/Size</t>
  </si>
  <si>
    <t>Pressure (bar)</t>
  </si>
  <si>
    <t>Temp Range (°C)</t>
  </si>
  <si>
    <t>PMP-CENT</t>
  </si>
  <si>
    <t>Centrifugal Pump</t>
  </si>
  <si>
    <t>5-500 L/min</t>
  </si>
  <si>
    <t>0.5-15 kW</t>
  </si>
  <si>
    <t>Water Supply</t>
  </si>
  <si>
    <t>CI/SS/Bronze</t>
  </si>
  <si>
    <t>2-10</t>
  </si>
  <si>
    <t>0-90</t>
  </si>
  <si>
    <t>PMP-SUB</t>
  </si>
  <si>
    <t>Submersible Pump</t>
  </si>
  <si>
    <t>10-300 L/min</t>
  </si>
  <si>
    <t>0.75-7.5 kW</t>
  </si>
  <si>
    <t>Borehole</t>
  </si>
  <si>
    <t>SS</t>
  </si>
  <si>
    <t>2-15</t>
  </si>
  <si>
    <t>0-60</t>
  </si>
  <si>
    <t>PMP-BOOST</t>
  </si>
  <si>
    <t>Booster Pump</t>
  </si>
  <si>
    <t>20-1000 L/min</t>
  </si>
  <si>
    <t>1-30 kW</t>
  </si>
  <si>
    <t>Pressure Boost</t>
  </si>
  <si>
    <t>CI/SS</t>
  </si>
  <si>
    <t>TNK-OVH</t>
  </si>
  <si>
    <t>Overhead Tank</t>
  </si>
  <si>
    <t>500-50000 L</t>
  </si>
  <si>
    <t>Storage</t>
  </si>
  <si>
    <t>Plastic/Concrete</t>
  </si>
  <si>
    <t>0.5-1</t>
  </si>
  <si>
    <t>10-50</t>
  </si>
  <si>
    <t>TNK-GRND</t>
  </si>
  <si>
    <t>Ground Tank</t>
  </si>
  <si>
    <t>1000-100000 L</t>
  </si>
  <si>
    <t>Concrete/Plastic</t>
  </si>
  <si>
    <t>0-2</t>
  </si>
  <si>
    <t>10-30</t>
  </si>
  <si>
    <t>TNK-PRESS</t>
  </si>
  <si>
    <t>Pressure Vessel</t>
  </si>
  <si>
    <t>50-5000 L</t>
  </si>
  <si>
    <t>Pressurization</t>
  </si>
  <si>
    <t>Steel</t>
  </si>
  <si>
    <t>4-10</t>
  </si>
  <si>
    <t>ISO 24490</t>
  </si>
  <si>
    <t>HTR-ELEC</t>
  </si>
  <si>
    <t>Electric Heater</t>
  </si>
  <si>
    <t>10-300 L</t>
  </si>
  <si>
    <t>1.5-15 kW</t>
  </si>
  <si>
    <t>Water Heating</t>
  </si>
  <si>
    <t>Enamel/SS</t>
  </si>
  <si>
    <t>6-10</t>
  </si>
  <si>
    <t>IEC 60335</t>
  </si>
  <si>
    <t>HTR-SOLAR</t>
  </si>
  <si>
    <t>Solar Heater</t>
  </si>
  <si>
    <t>100-500 L</t>
  </si>
  <si>
    <t>Glass/SS</t>
  </si>
  <si>
    <t>2-6</t>
  </si>
  <si>
    <t>0-95</t>
  </si>
  <si>
    <t>ISO 9459</t>
  </si>
  <si>
    <t>HTR-GAS</t>
  </si>
  <si>
    <t>Gas Heater</t>
  </si>
  <si>
    <t>50-300 L</t>
  </si>
  <si>
    <t>5-30 kW</t>
  </si>
  <si>
    <t>Enamel/Copper</t>
  </si>
  <si>
    <t>ISO 23551</t>
  </si>
  <si>
    <t>FLT-SAND</t>
  </si>
  <si>
    <t>Sand Filter</t>
  </si>
  <si>
    <t>Varies</t>
  </si>
  <si>
    <t>Pre-treatment</t>
  </si>
  <si>
    <t>FRP/Concrete</t>
  </si>
  <si>
    <t>5-40</t>
  </si>
  <si>
    <t>AWWA B100</t>
  </si>
  <si>
    <t>FLT-CARB</t>
  </si>
  <si>
    <t>Carbon Filter</t>
  </si>
  <si>
    <t>Taste/Odor</t>
  </si>
  <si>
    <t>Plastic/SS</t>
  </si>
  <si>
    <t>NSF 53</t>
  </si>
  <si>
    <t>BFP</t>
  </si>
  <si>
    <t>Backflow Preventer</t>
  </si>
  <si>
    <t>15-100 mm</t>
  </si>
  <si>
    <t>Contamination</t>
  </si>
  <si>
    <t>Brass/Bronze</t>
  </si>
  <si>
    <t>2-16</t>
  </si>
  <si>
    <t>5-65</t>
  </si>
  <si>
    <t>ISO 7024</t>
  </si>
  <si>
    <t>PIPE MATERIALS &amp; SPECIFICATIONS</t>
  </si>
  <si>
    <t>Pipe Material</t>
  </si>
  <si>
    <t>Sizes (mm)</t>
  </si>
  <si>
    <t>Temp (°C)</t>
  </si>
  <si>
    <t>Joining</t>
  </si>
  <si>
    <t>Life (years)</t>
  </si>
  <si>
    <t>PPR</t>
  </si>
  <si>
    <t>Polypropylene (PPR)</t>
  </si>
  <si>
    <t>20-160</t>
  </si>
  <si>
    <t>16-25</t>
  </si>
  <si>
    <t>-10 to 95</t>
  </si>
  <si>
    <t>Hot/Cold Water</t>
  </si>
  <si>
    <t>Heat Fusion</t>
  </si>
  <si>
    <t>50+</t>
  </si>
  <si>
    <t>PPR-PN16</t>
  </si>
  <si>
    <t>PPR PN16</t>
  </si>
  <si>
    <t>16</t>
  </si>
  <si>
    <t>-10 to 70</t>
  </si>
  <si>
    <t>Cold Water</t>
  </si>
  <si>
    <t>PPR-PN20</t>
  </si>
  <si>
    <t>PPR PN20</t>
  </si>
  <si>
    <t>20-110</t>
  </si>
  <si>
    <t>Hot Water</t>
  </si>
  <si>
    <t>PPR-PN25</t>
  </si>
  <si>
    <t>PPR PN25</t>
  </si>
  <si>
    <t>20-75</t>
  </si>
  <si>
    <t>High Pressure</t>
  </si>
  <si>
    <t>UPVC</t>
  </si>
  <si>
    <t>uPVC</t>
  </si>
  <si>
    <t>20-315</t>
  </si>
  <si>
    <t>10-16</t>
  </si>
  <si>
    <t>Cold/Drain</t>
  </si>
  <si>
    <t>Solvent Cement</t>
  </si>
  <si>
    <t>ISO 1452</t>
  </si>
  <si>
    <t>CPVC</t>
  </si>
  <si>
    <t>Chlorinated PVC</t>
  </si>
  <si>
    <t>15-100</t>
  </si>
  <si>
    <t>16-28</t>
  </si>
  <si>
    <t>0-93</t>
  </si>
  <si>
    <t>ASTM D2846</t>
  </si>
  <si>
    <t>HDPE</t>
  </si>
  <si>
    <t>20-630</t>
  </si>
  <si>
    <t>10-25</t>
  </si>
  <si>
    <t>-40 to 60</t>
  </si>
  <si>
    <t>ISO 4427</t>
  </si>
  <si>
    <t>PE100</t>
  </si>
  <si>
    <t>20-1200</t>
  </si>
  <si>
    <t>12.5-25</t>
  </si>
  <si>
    <t>Water Mains</t>
  </si>
  <si>
    <t>PEX</t>
  </si>
  <si>
    <t>Cross-linked PE</t>
  </si>
  <si>
    <t>16-63</t>
  </si>
  <si>
    <t>Hot/Cold</t>
  </si>
  <si>
    <t>Compression</t>
  </si>
  <si>
    <t>ISO 15875</t>
  </si>
  <si>
    <t>GI</t>
  </si>
  <si>
    <t>Galvanized Steel</t>
  </si>
  <si>
    <t>15-150</t>
  </si>
  <si>
    <t>-20 to 120</t>
  </si>
  <si>
    <t>General</t>
  </si>
  <si>
    <t>Threaded</t>
  </si>
  <si>
    <t>ISO 1/2</t>
  </si>
  <si>
    <t>MS</t>
  </si>
  <si>
    <t>Mild Steel</t>
  </si>
  <si>
    <t>15-300</t>
  </si>
  <si>
    <t>16-40</t>
  </si>
  <si>
    <t>Welded</t>
  </si>
  <si>
    <t>ISO 65</t>
  </si>
  <si>
    <t>Cast Iron</t>
  </si>
  <si>
    <t>50-300</t>
  </si>
  <si>
    <t>0-80</t>
  </si>
  <si>
    <t>Gasket/Cement</t>
  </si>
  <si>
    <t>ISO 6594</t>
  </si>
  <si>
    <t>COPPER-L</t>
  </si>
  <si>
    <t>Copper Type L</t>
  </si>
  <si>
    <t>-50 to 200</t>
  </si>
  <si>
    <t>Soldered</t>
  </si>
  <si>
    <t>ASTM B88</t>
  </si>
  <si>
    <t>SS304</t>
  </si>
  <si>
    <t>Stainless 304</t>
  </si>
  <si>
    <t>40-100</t>
  </si>
  <si>
    <t>-200 to 400</t>
  </si>
  <si>
    <t>Special</t>
  </si>
  <si>
    <t>ASTM A312</t>
  </si>
  <si>
    <t>ABS</t>
  </si>
  <si>
    <t>ABS Plastic</t>
  </si>
  <si>
    <t>40-150</t>
  </si>
  <si>
    <t>Drainage/Vent</t>
  </si>
  <si>
    <t>ASTM D2661</t>
  </si>
  <si>
    <t>PIPE FITTINGS &amp; CONNECTORS</t>
  </si>
  <si>
    <t>Fitting Type</t>
  </si>
  <si>
    <t>Connection</t>
  </si>
  <si>
    <t>K-Factor</t>
  </si>
  <si>
    <t>ELB-90</t>
  </si>
  <si>
    <t>90° Elbow</t>
  </si>
  <si>
    <t>15-160</t>
  </si>
  <si>
    <t>PPR/PVC/Brass</t>
  </si>
  <si>
    <t>Socket/Thread</t>
  </si>
  <si>
    <t>Direction change</t>
  </si>
  <si>
    <t>Standard radius</t>
  </si>
  <si>
    <t>ELB-45</t>
  </si>
  <si>
    <t>45° Elbow</t>
  </si>
  <si>
    <t>Gradual bends</t>
  </si>
  <si>
    <t>Low pressure loss</t>
  </si>
  <si>
    <t>ELB-90-LR</t>
  </si>
  <si>
    <t>90° Long Radius Elbow</t>
  </si>
  <si>
    <t>Reduced loss</t>
  </si>
  <si>
    <t>Preferred for flow</t>
  </si>
  <si>
    <t>BEND-90</t>
  </si>
  <si>
    <t>90° Bend</t>
  </si>
  <si>
    <t>Socket</t>
  </si>
  <si>
    <t>Drainage systems</t>
  </si>
  <si>
    <t>Large radius</t>
  </si>
  <si>
    <t>TEE-EQ</t>
  </si>
  <si>
    <t>Equal Tee</t>
  </si>
  <si>
    <t>0.6-1.8</t>
  </si>
  <si>
    <t>Branch connections</t>
  </si>
  <si>
    <t>K depends on flow</t>
  </si>
  <si>
    <t>TEE-RED</t>
  </si>
  <si>
    <t>Reducing Tee</t>
  </si>
  <si>
    <t>Size reduction</t>
  </si>
  <si>
    <t>Branch reduction</t>
  </si>
  <si>
    <t>CROSS</t>
  </si>
  <si>
    <t>Cross Fitting</t>
  </si>
  <si>
    <t>15-63</t>
  </si>
  <si>
    <t>PPR/Brass</t>
  </si>
  <si>
    <t>Multiple branches</t>
  </si>
  <si>
    <t>4-way connection</t>
  </si>
  <si>
    <t>TEE-COLLAR</t>
  </si>
  <si>
    <t>Boss/Collar Tee</t>
  </si>
  <si>
    <t>32-160</t>
  </si>
  <si>
    <t>PPR/PVC</t>
  </si>
  <si>
    <t>Socket/Saddle</t>
  </si>
  <si>
    <t>Stack connections</t>
  </si>
  <si>
    <t>For vertical stacks</t>
  </si>
  <si>
    <t>COUP</t>
  </si>
  <si>
    <t>Coupling/Socket</t>
  </si>
  <si>
    <t>15-315</t>
  </si>
  <si>
    <t>Straight joints</t>
  </si>
  <si>
    <t>Minimal loss</t>
  </si>
  <si>
    <t>UNION</t>
  </si>
  <si>
    <t>Union</t>
  </si>
  <si>
    <t>Brass/SS</t>
  </si>
  <si>
    <t>Thread</t>
  </si>
  <si>
    <t>Detachable joints</t>
  </si>
  <si>
    <t>For maintenance</t>
  </si>
  <si>
    <t>FLANGE</t>
  </si>
  <si>
    <t>Flange</t>
  </si>
  <si>
    <t>50-600</t>
  </si>
  <si>
    <t>Bolted</t>
  </si>
  <si>
    <t>Bolted connections</t>
  </si>
  <si>
    <t>ISO 7005</t>
  </si>
  <si>
    <t>PN10/PN16</t>
  </si>
  <si>
    <t>ADAPT-MTA</t>
  </si>
  <si>
    <t>Male Thread Adapter</t>
  </si>
  <si>
    <t>Thread connections</t>
  </si>
  <si>
    <t>Transition fitting</t>
  </si>
  <si>
    <t>ADAPT-FTA</t>
  </si>
  <si>
    <t>Female Thread Adapter</t>
  </si>
  <si>
    <t>CAP</t>
  </si>
  <si>
    <t>End Cap</t>
  </si>
  <si>
    <t>Pipe termination</t>
  </si>
  <si>
    <t>Dead end</t>
  </si>
  <si>
    <t>PLUG</t>
  </si>
  <si>
    <t>Pipe Plug</t>
  </si>
  <si>
    <t>Brass/Steel</t>
  </si>
  <si>
    <t>Opening closure</t>
  </si>
  <si>
    <t>ISO 7/1</t>
  </si>
  <si>
    <t>Removable</t>
  </si>
  <si>
    <t>REDUCER</t>
  </si>
  <si>
    <t>Reducer</t>
  </si>
  <si>
    <t>Concentric/Eccentric</t>
  </si>
  <si>
    <t>BUSHING</t>
  </si>
  <si>
    <t>Bushing</t>
  </si>
  <si>
    <t>Brass</t>
  </si>
  <si>
    <t>Thread adapter</t>
  </si>
  <si>
    <t>NIPPLE</t>
  </si>
  <si>
    <t>Nipple</t>
  </si>
  <si>
    <t>Brass/GI</t>
  </si>
  <si>
    <t>Short connector</t>
  </si>
  <si>
    <t>Various lengths</t>
  </si>
  <si>
    <t>PLUMBING ACCESSORIES &amp; SPECIALTIES</t>
  </si>
  <si>
    <t>Accessory Type</t>
  </si>
  <si>
    <t>Size Range</t>
  </si>
  <si>
    <t>Function</t>
  </si>
  <si>
    <t>Installation</t>
  </si>
  <si>
    <t>TRAP</t>
  </si>
  <si>
    <t>P-Trap</t>
  </si>
  <si>
    <t>32-100 mm</t>
  </si>
  <si>
    <t>PVC/Chrome</t>
  </si>
  <si>
    <t>Seal drainage</t>
  </si>
  <si>
    <t>Below fixtures</t>
  </si>
  <si>
    <t>Below fixture</t>
  </si>
  <si>
    <t>Water seal</t>
  </si>
  <si>
    <t>STRAP</t>
  </si>
  <si>
    <t>S-Trap</t>
  </si>
  <si>
    <t>Floor outlet</t>
  </si>
  <si>
    <t>Floor connection</t>
  </si>
  <si>
    <t>BTRAP</t>
  </si>
  <si>
    <t>Bottle Trap</t>
  </si>
  <si>
    <t>32-50 mm</t>
  </si>
  <si>
    <t>Chrome/Brass</t>
  </si>
  <si>
    <t>Basins</t>
  </si>
  <si>
    <t>Space saving</t>
  </si>
  <si>
    <t>Aesthetic</t>
  </si>
  <si>
    <t>FD</t>
  </si>
  <si>
    <t>50-150 mm</t>
  </si>
  <si>
    <t>SS/CI</t>
  </si>
  <si>
    <t>Floor drainage</t>
  </si>
  <si>
    <t>Bathrooms/balconies</t>
  </si>
  <si>
    <t>In floor slab</t>
  </si>
  <si>
    <t>Grated</t>
  </si>
  <si>
    <t>RD</t>
  </si>
  <si>
    <t>Roof Drain</t>
  </si>
  <si>
    <t>75-150 mm</t>
  </si>
  <si>
    <t>Roof drainage</t>
  </si>
  <si>
    <t>Flat roofs</t>
  </si>
  <si>
    <t>In roof slab</t>
  </si>
  <si>
    <t>Leaf guard</t>
  </si>
  <si>
    <t>CO</t>
  </si>
  <si>
    <t>Clean Out</t>
  </si>
  <si>
    <t>PVC/Brass</t>
  </si>
  <si>
    <t>Access for cleaning</t>
  </si>
  <si>
    <t>Drainage lines</t>
  </si>
  <si>
    <t>At bends/junctions</t>
  </si>
  <si>
    <t>Removable plug</t>
  </si>
  <si>
    <t>VENT</t>
  </si>
  <si>
    <t>Air Admittance Valve</t>
  </si>
  <si>
    <t>Plastic</t>
  </si>
  <si>
    <t>Venting</t>
  </si>
  <si>
    <t>EN 12380</t>
  </si>
  <si>
    <t>Stack top</t>
  </si>
  <si>
    <t>One-way valve</t>
  </si>
  <si>
    <t>STRAINER</t>
  </si>
  <si>
    <t>Basket Strainer</t>
  </si>
  <si>
    <t>40-100 mm</t>
  </si>
  <si>
    <t>Debris filter</t>
  </si>
  <si>
    <t>Kitchen sinks</t>
  </si>
  <si>
    <t>Sink outlet</t>
  </si>
  <si>
    <t>Removable basket</t>
  </si>
  <si>
    <t>WASTE</t>
  </si>
  <si>
    <t>Pop-up Waste</t>
  </si>
  <si>
    <t>32-40 mm</t>
  </si>
  <si>
    <t>Drain control</t>
  </si>
  <si>
    <t>Basin outlet</t>
  </si>
  <si>
    <t>With overflow</t>
  </si>
  <si>
    <t>GRATE</t>
  </si>
  <si>
    <t>Drain Grate</t>
  </si>
  <si>
    <t>100-300 mm</t>
  </si>
  <si>
    <t>Cover/filter</t>
  </si>
  <si>
    <t>Floor drains</t>
  </si>
  <si>
    <t>Top of drain</t>
  </si>
  <si>
    <t>HANGER</t>
  </si>
  <si>
    <t>Pipe Hanger/Clamp</t>
  </si>
  <si>
    <t>Plastic/Metal</t>
  </si>
  <si>
    <t>Pipe support</t>
  </si>
  <si>
    <t>All piping</t>
  </si>
  <si>
    <t>Wall/ceiling</t>
  </si>
  <si>
    <t>Per 1.5m</t>
  </si>
  <si>
    <t>SLEEVE</t>
  </si>
  <si>
    <t>Wall Sleeve</t>
  </si>
  <si>
    <t>Pipe + 50mm</t>
  </si>
  <si>
    <t>PVC/Steel</t>
  </si>
  <si>
    <t>Wall penetration</t>
  </si>
  <si>
    <t>Through walls</t>
  </si>
  <si>
    <t>During construction</t>
  </si>
  <si>
    <t>Fire rated</t>
  </si>
  <si>
    <t>WASHER</t>
  </si>
  <si>
    <t>Tap Washer</t>
  </si>
  <si>
    <t>12-25 mm</t>
  </si>
  <si>
    <t>Rubber/Ceramic</t>
  </si>
  <si>
    <t>Seal tap</t>
  </si>
  <si>
    <t>All taps</t>
  </si>
  <si>
    <t>Inside tap</t>
  </si>
  <si>
    <t>Replaceable</t>
  </si>
  <si>
    <t>ESCUTCH</t>
  </si>
  <si>
    <t>Escutcheon Plate</t>
  </si>
  <si>
    <t>Chrome/SS</t>
  </si>
  <si>
    <t>Cover penetration</t>
  </si>
  <si>
    <t>Wall/floor outlets</t>
  </si>
  <si>
    <t>Over penetration</t>
  </si>
  <si>
    <t>UGANDA PLUMBING REGULATIONS, STANDARDS &amp; REFERENCE GUIDE</t>
  </si>
  <si>
    <t>NWSC Standards, ISO Standards, Codes &amp; Quick Reference</t>
  </si>
  <si>
    <t>CODE SYSTEM STRUCTURE</t>
  </si>
  <si>
    <t>Prefix</t>
  </si>
  <si>
    <t>Category</t>
  </si>
  <si>
    <t>Code Range</t>
  </si>
  <si>
    <t>Description</t>
  </si>
  <si>
    <t>Standard Reference</t>
  </si>
  <si>
    <t>Authority</t>
  </si>
  <si>
    <t>Format</t>
  </si>
  <si>
    <t>FIX</t>
  </si>
  <si>
    <t>Fixtures</t>
  </si>
  <si>
    <t>001-099</t>
  </si>
  <si>
    <t>Plumbing fixtures and fittings</t>
  </si>
  <si>
    <t>FIX-001 (WC)</t>
  </si>
  <si>
    <t>ISO 3822/6708</t>
  </si>
  <si>
    <t>UNBS</t>
  </si>
  <si>
    <t>FIX-[TYPE]</t>
  </si>
  <si>
    <t>PIP</t>
  </si>
  <si>
    <t>Pipes</t>
  </si>
  <si>
    <t>200-299</t>
  </si>
  <si>
    <t>Piping materials and systems</t>
  </si>
  <si>
    <t>PIP-200 (PPR)</t>
  </si>
  <si>
    <t>PIP-[MATERIAL]</t>
  </si>
  <si>
    <t>FIT</t>
  </si>
  <si>
    <t>Fittings</t>
  </si>
  <si>
    <t>400-499</t>
  </si>
  <si>
    <t>Pipe fittings and connectors</t>
  </si>
  <si>
    <t>FIT-400 (Elbow)</t>
  </si>
  <si>
    <t>FIT-[TYPE]</t>
  </si>
  <si>
    <t>EQP</t>
  </si>
  <si>
    <t>Equipment</t>
  </si>
  <si>
    <t>500-599</t>
  </si>
  <si>
    <t>Mechanical equipment</t>
  </si>
  <si>
    <t>EQP-501 (Pump)</t>
  </si>
  <si>
    <t>Uganda Std</t>
  </si>
  <si>
    <t>EQP-[TYPE]</t>
  </si>
  <si>
    <t>VLV</t>
  </si>
  <si>
    <t>Valves</t>
  </si>
  <si>
    <t>600-699</t>
  </si>
  <si>
    <t>Control and safety valves</t>
  </si>
  <si>
    <t>VLV-601 (Gate)</t>
  </si>
  <si>
    <t>ISO Standards</t>
  </si>
  <si>
    <t>VLV-[TYPE]</t>
  </si>
  <si>
    <t>DRN</t>
  </si>
  <si>
    <t>700-799</t>
  </si>
  <si>
    <t>Drainage fittings and systems</t>
  </si>
  <si>
    <t>DRN-701 (Floor drain)</t>
  </si>
  <si>
    <t>DRN-[TYPE]</t>
  </si>
  <si>
    <t>TNK</t>
  </si>
  <si>
    <t>Tanks</t>
  </si>
  <si>
    <t>800-899</t>
  </si>
  <si>
    <t>Storage tanks and vessels</t>
  </si>
  <si>
    <t>TNK-801 (Overhead)</t>
  </si>
  <si>
    <t>NWSC Std</t>
  </si>
  <si>
    <t>TNK-[TYPE]</t>
  </si>
  <si>
    <t>HTR</t>
  </si>
  <si>
    <t>Heaters</t>
  </si>
  <si>
    <t>900-999</t>
  </si>
  <si>
    <t>Water heating equipment</t>
  </si>
  <si>
    <t>HTR-901 (Electric)</t>
  </si>
  <si>
    <t>HTR-[TYPE]</t>
  </si>
  <si>
    <t>FLOOR LEVEL CODES (ISO 19650-2 Compliant)</t>
  </si>
  <si>
    <t>Elevation Reference</t>
  </si>
  <si>
    <t>BIM Level</t>
  </si>
  <si>
    <t>Uganda Practice</t>
  </si>
  <si>
    <t>B03</t>
  </si>
  <si>
    <t>Basement 3</t>
  </si>
  <si>
    <t>-9.0m</t>
  </si>
  <si>
    <t>Third basement level</t>
  </si>
  <si>
    <t>Parking/storage</t>
  </si>
  <si>
    <t>Level -3</t>
  </si>
  <si>
    <t>Rare in Uganda</t>
  </si>
  <si>
    <t>Deep basement</t>
  </si>
  <si>
    <t>B02</t>
  </si>
  <si>
    <t>Basement 2</t>
  </si>
  <si>
    <t>-6.0m</t>
  </si>
  <si>
    <t>Second basement</t>
  </si>
  <si>
    <t>Parking/mechanical</t>
  </si>
  <si>
    <t>Level -2</t>
  </si>
  <si>
    <t>Uncommon</t>
  </si>
  <si>
    <t>Services/parking</t>
  </si>
  <si>
    <t>B01</t>
  </si>
  <si>
    <t>Basement 1</t>
  </si>
  <si>
    <t>-3.0m</t>
  </si>
  <si>
    <t>First basement</t>
  </si>
  <si>
    <t>Level -1</t>
  </si>
  <si>
    <t>Common in malls</t>
  </si>
  <si>
    <t>Main basement</t>
  </si>
  <si>
    <t>LG</t>
  </si>
  <si>
    <t>Lower Ground</t>
  </si>
  <si>
    <t>-1.5m</t>
  </si>
  <si>
    <t>Semi-basement</t>
  </si>
  <si>
    <t>Services/storage</t>
  </si>
  <si>
    <t>Level -0.5</t>
  </si>
  <si>
    <t>Used in sloped sites</t>
  </si>
  <si>
    <t>Half level down</t>
  </si>
  <si>
    <t>L00</t>
  </si>
  <si>
    <t>Ground Floor</t>
  </si>
  <si>
    <t>0.0m</t>
  </si>
  <si>
    <t>Main entrance level</t>
  </si>
  <si>
    <t>Lobby/shops</t>
  </si>
  <si>
    <t>Level 0</t>
  </si>
  <si>
    <t>Standard datum</t>
  </si>
  <si>
    <t>Reference level</t>
  </si>
  <si>
    <t>LM</t>
  </si>
  <si>
    <t>Mezzanine</t>
  </si>
  <si>
    <t>+1.5m</t>
  </si>
  <si>
    <t>Intermediate level</t>
  </si>
  <si>
    <t>Offices</t>
  </si>
  <si>
    <t>Level 0.5</t>
  </si>
  <si>
    <t>Between floors</t>
  </si>
  <si>
    <t>Half level up</t>
  </si>
  <si>
    <t>L01</t>
  </si>
  <si>
    <t>First Floor</t>
  </si>
  <si>
    <t>+3.0m</t>
  </si>
  <si>
    <t>First upper floor</t>
  </si>
  <si>
    <t>Apartments/offices</t>
  </si>
  <si>
    <t>Level 1</t>
  </si>
  <si>
    <t>1st above ground</t>
  </si>
  <si>
    <t>L02-L10</t>
  </si>
  <si>
    <t>Floors 2-10</t>
  </si>
  <si>
    <t>+6.0m to +30m</t>
  </si>
  <si>
    <t>Standard floors</t>
  </si>
  <si>
    <t>Residential/office</t>
  </si>
  <si>
    <t>Level 2-10</t>
  </si>
  <si>
    <t>Mid-rise</t>
  </si>
  <si>
    <t>Typical floors</t>
  </si>
  <si>
    <t>L11-L20</t>
  </si>
  <si>
    <t>Floors 11-20</t>
  </si>
  <si>
    <t>+33m to +60m</t>
  </si>
  <si>
    <t>High floors</t>
  </si>
  <si>
    <t>Premium units</t>
  </si>
  <si>
    <t>Level 11-20</t>
  </si>
  <si>
    <t>High-rise</t>
  </si>
  <si>
    <t>Upper floors</t>
  </si>
  <si>
    <t>LR</t>
  </si>
  <si>
    <t>Roof Level</t>
  </si>
  <si>
    <t>Top</t>
  </si>
  <si>
    <t>Roof access</t>
  </si>
  <si>
    <t>Tanks/equipment</t>
  </si>
  <si>
    <t>Roof</t>
  </si>
  <si>
    <t>Services location</t>
  </si>
  <si>
    <t>Mechanical floor</t>
  </si>
  <si>
    <t>ZONE CODES FOR PLUMBING SYSTEMS</t>
  </si>
  <si>
    <t>Zone Name</t>
  </si>
  <si>
    <t>Typical Use</t>
  </si>
  <si>
    <t>Pressure Zone</t>
  </si>
  <si>
    <t>Uganda Application</t>
  </si>
  <si>
    <t>Z01</t>
  </si>
  <si>
    <t>Zone 1</t>
  </si>
  <si>
    <t>Primary zone</t>
  </si>
  <si>
    <t>Ground to 5th floor</t>
  </si>
  <si>
    <t>200-400 kPa</t>
  </si>
  <si>
    <t>Direct supply</t>
  </si>
  <si>
    <t>Low-rise buildings</t>
  </si>
  <si>
    <t>Direct from mains</t>
  </si>
  <si>
    <t>Z02</t>
  </si>
  <si>
    <t>Zone 2</t>
  </si>
  <si>
    <t>Secondary zone</t>
  </si>
  <si>
    <t>6th to 10th floor</t>
  </si>
  <si>
    <t>Booster pump</t>
  </si>
  <si>
    <t>Mid-rise buildings</t>
  </si>
  <si>
    <t>Pumped supply</t>
  </si>
  <si>
    <t>Z03</t>
  </si>
  <si>
    <t>Zone 3</t>
  </si>
  <si>
    <t>Tertiary zone</t>
  </si>
  <si>
    <t>11th to 15th floor</t>
  </si>
  <si>
    <t>Booster + tank</t>
  </si>
  <si>
    <t>High-rise buildings</t>
  </si>
  <si>
    <t>Multi-stage pump</t>
  </si>
  <si>
    <t>Z04</t>
  </si>
  <si>
    <t>Zone 4</t>
  </si>
  <si>
    <t>Fourth zone</t>
  </si>
  <si>
    <t>16th to 20th floor</t>
  </si>
  <si>
    <t>Zone pump</t>
  </si>
  <si>
    <t>Very high-rise</t>
  </si>
  <si>
    <t>Additional booster</t>
  </si>
  <si>
    <t>Z05</t>
  </si>
  <si>
    <t>Zone 5</t>
  </si>
  <si>
    <t>Fifth zone</t>
  </si>
  <si>
    <t>Above 20th floor</t>
  </si>
  <si>
    <t>Zone system</t>
  </si>
  <si>
    <t>Multiple zones</t>
  </si>
  <si>
    <t>COR</t>
  </si>
  <si>
    <t>Corridor</t>
  </si>
  <si>
    <t>Circulation areas</t>
  </si>
  <si>
    <t>Common areas</t>
  </si>
  <si>
    <t>Service fixtures</t>
  </si>
  <si>
    <t>Public areas</t>
  </si>
  <si>
    <t>EXT</t>
  </si>
  <si>
    <t>External</t>
  </si>
  <si>
    <t>Outside building</t>
  </si>
  <si>
    <t>Landscaping</t>
  </si>
  <si>
    <t>Variable</t>
  </si>
  <si>
    <t>Irrigation</t>
  </si>
  <si>
    <t>Site services</t>
  </si>
  <si>
    <t>External plumbing</t>
  </si>
  <si>
    <t>SRV</t>
  </si>
  <si>
    <t>Service rooms</t>
  </si>
  <si>
    <t>Mechanical</t>
  </si>
  <si>
    <t>All equipment</t>
  </si>
  <si>
    <t>Plant rooms</t>
  </si>
  <si>
    <t>Equipment areas</t>
  </si>
  <si>
    <t>DISCIPLINE CODES (ISO 19650-2 Standard)</t>
  </si>
  <si>
    <t>Discipline</t>
  </si>
  <si>
    <t>Scope</t>
  </si>
  <si>
    <t>BIM Use</t>
  </si>
  <si>
    <t>Plumbing Relevance</t>
  </si>
  <si>
    <t>Coordination</t>
  </si>
  <si>
    <t>C</t>
  </si>
  <si>
    <t>Controls/BMS</t>
  </si>
  <si>
    <t>Building management systems</t>
  </si>
  <si>
    <t>Control systems</t>
  </si>
  <si>
    <t>Water system controls</t>
  </si>
  <si>
    <t>Electrical</t>
  </si>
  <si>
    <t>Emerging</t>
  </si>
  <si>
    <t>ISO 19650-2</t>
  </si>
  <si>
    <t>D</t>
  </si>
  <si>
    <t>Data/Telecom</t>
  </si>
  <si>
    <t>Data and communications</t>
  </si>
  <si>
    <t>IT infrastructure</t>
  </si>
  <si>
    <t>Smart water meters</t>
  </si>
  <si>
    <t>Growing</t>
  </si>
  <si>
    <t>E</t>
  </si>
  <si>
    <t>Electrical systems</t>
  </si>
  <si>
    <t>Power distribution</t>
  </si>
  <si>
    <t>Pump power supply</t>
  </si>
  <si>
    <t>All MEP</t>
  </si>
  <si>
    <t>F</t>
  </si>
  <si>
    <t>Fire Protection</t>
  </si>
  <si>
    <t>Fire safety systems</t>
  </si>
  <si>
    <t>Fire suppression</t>
  </si>
  <si>
    <t>Fire sprinklers</t>
  </si>
  <si>
    <t>Plumbing</t>
  </si>
  <si>
    <t>Mandatory</t>
  </si>
  <si>
    <t>FA</t>
  </si>
  <si>
    <t>Fire Alarm</t>
  </si>
  <si>
    <t>Fire detection</t>
  </si>
  <si>
    <t>Alarm systems</t>
  </si>
  <si>
    <t>Water flow alarms</t>
  </si>
  <si>
    <t>Fire/Electrical</t>
  </si>
  <si>
    <t>KIT</t>
  </si>
  <si>
    <t>Kitchen</t>
  </si>
  <si>
    <t>Kitchen systems</t>
  </si>
  <si>
    <t>Food service</t>
  </si>
  <si>
    <t>Kitchen plumbing</t>
  </si>
  <si>
    <t>Hotels/restaurants</t>
  </si>
  <si>
    <t>M</t>
  </si>
  <si>
    <t>HVAC and mechanical</t>
  </si>
  <si>
    <t>Climate control</t>
  </si>
  <si>
    <t>Chilled water</t>
  </si>
  <si>
    <t>P</t>
  </si>
  <si>
    <t>Plumbing systems</t>
  </si>
  <si>
    <t>Water/drainage</t>
  </si>
  <si>
    <t>All plumbing work</t>
  </si>
  <si>
    <t>All disciplines</t>
  </si>
  <si>
    <t>Primary</t>
  </si>
  <si>
    <t>NWSC MANDATORY REQUIREMENTS</t>
  </si>
  <si>
    <t>Requirement</t>
  </si>
  <si>
    <t>Specification</t>
  </si>
  <si>
    <t>Value/Standard</t>
  </si>
  <si>
    <t>Verification</t>
  </si>
  <si>
    <t>Penalty</t>
  </si>
  <si>
    <t>Reference</t>
  </si>
  <si>
    <t>Water Pressure</t>
  </si>
  <si>
    <t>Supply at meter</t>
  </si>
  <si>
    <t>All connections</t>
  </si>
  <si>
    <t>Yes</t>
  </si>
  <si>
    <t>Pressure gauge</t>
  </si>
  <si>
    <t>Disconnection</t>
  </si>
  <si>
    <t>Water Quality</t>
  </si>
  <si>
    <t>Potable standard</t>
  </si>
  <si>
    <t>WHO Guidelines</t>
  </si>
  <si>
    <t>Drinking water</t>
  </si>
  <si>
    <t>Lab testing</t>
  </si>
  <si>
    <t>Connection refusal</t>
  </si>
  <si>
    <t>Backflow Prevention</t>
  </si>
  <si>
    <t>RPZ/Double check</t>
  </si>
  <si>
    <t>Commercial/Industrial</t>
  </si>
  <si>
    <t>Non-domestic</t>
  </si>
  <si>
    <t>Annual testing</t>
  </si>
  <si>
    <t>Fine/disconnect</t>
  </si>
  <si>
    <t>Tank Storage</t>
  </si>
  <si>
    <t>Minimum capacity</t>
  </si>
  <si>
    <t>24hr consumption</t>
  </si>
  <si>
    <t>Tank inspection</t>
  </si>
  <si>
    <t>None</t>
  </si>
  <si>
    <t>Drainage Connection</t>
  </si>
  <si>
    <t>Sewer size</t>
  </si>
  <si>
    <t>100mm minimum</t>
  </si>
  <si>
    <t>Site inspection</t>
  </si>
  <si>
    <t>NWSC-005</t>
  </si>
  <si>
    <t>Approved materials</t>
  </si>
  <si>
    <t>UNBS certified</t>
  </si>
  <si>
    <t>All installations</t>
  </si>
  <si>
    <t>Material certs</t>
  </si>
  <si>
    <t>Warranty void</t>
  </si>
  <si>
    <t>NWSC-006</t>
  </si>
  <si>
    <t>Leak Testing</t>
  </si>
  <si>
    <t>Pressure test</t>
  </si>
  <si>
    <t>1.5× working, 2hr</t>
  </si>
  <si>
    <t>New systems</t>
  </si>
  <si>
    <t>No connection</t>
  </si>
  <si>
    <t>NWSC-007</t>
  </si>
  <si>
    <t>Cross Connection</t>
  </si>
  <si>
    <t>No direct links</t>
  </si>
  <si>
    <t>Prohibited</t>
  </si>
  <si>
    <t>All systems</t>
  </si>
  <si>
    <t>Visual inspection</t>
  </si>
  <si>
    <t>NWSC-008</t>
  </si>
  <si>
    <t>Meter Location</t>
  </si>
  <si>
    <t>Boundary access</t>
  </si>
  <si>
    <t>≤1.5m depth</t>
  </si>
  <si>
    <t>Relocate at cost</t>
  </si>
  <si>
    <t>NWSC-009</t>
  </si>
  <si>
    <t>Water Conservation</t>
  </si>
  <si>
    <t>Low-flow fixtures</t>
  </si>
  <si>
    <t>WC≤6L, Tap≤8L/min</t>
  </si>
  <si>
    <t>New buildings</t>
  </si>
  <si>
    <t>Fixture specs</t>
  </si>
  <si>
    <t>NWSC-010</t>
  </si>
  <si>
    <t>VALVE TYPES &amp; SPECIFICATIONS</t>
  </si>
  <si>
    <t>Valve Type</t>
  </si>
  <si>
    <t>Gate Valve</t>
  </si>
  <si>
    <t>Isolation/shutoff</t>
  </si>
  <si>
    <t>Brass/CI/SS</t>
  </si>
  <si>
    <t>Main shutoff</t>
  </si>
  <si>
    <t>ISO 5208</t>
  </si>
  <si>
    <t>Ball Valve</t>
  </si>
  <si>
    <t>Quick shutoff</t>
  </si>
  <si>
    <t>Quarter-turn control</t>
  </si>
  <si>
    <t>ISO 5211</t>
  </si>
  <si>
    <t>Globe Valve</t>
  </si>
  <si>
    <t>Throttling/flow control</t>
  </si>
  <si>
    <t>Flow regulation</t>
  </si>
  <si>
    <t>ISO 5752</t>
  </si>
  <si>
    <t>Check Valve</t>
  </si>
  <si>
    <t>Backflow prevention</t>
  </si>
  <si>
    <t>15-200</t>
  </si>
  <si>
    <t>One-way flow</t>
  </si>
  <si>
    <t>Pressure Reducing Valve</t>
  </si>
  <si>
    <t>Pressure control</t>
  </si>
  <si>
    <t>Pressure regulation</t>
  </si>
  <si>
    <t>ISO 4126</t>
  </si>
  <si>
    <t>Temp/Pressure Relief</t>
  </si>
  <si>
    <t>Safety relief</t>
  </si>
  <si>
    <t>Water heater safety</t>
  </si>
  <si>
    <t>ASME</t>
  </si>
  <si>
    <t>Butterfly Valve</t>
  </si>
  <si>
    <t>Large pipe isolation</t>
  </si>
  <si>
    <t>Large diameter control</t>
  </si>
  <si>
    <t>Non-Return Valve</t>
  </si>
  <si>
    <t>Pumps/tanks</t>
  </si>
  <si>
    <t>Float Valve</t>
  </si>
  <si>
    <t>Level control</t>
  </si>
  <si>
    <t>15-50</t>
  </si>
  <si>
    <t>6-16</t>
  </si>
  <si>
    <t>Brass/Plastic</t>
  </si>
  <si>
    <t>Tank fill control</t>
  </si>
  <si>
    <t>BS 1212</t>
  </si>
  <si>
    <t>Mixing Valve</t>
  </si>
  <si>
    <t>Temperature blending</t>
  </si>
  <si>
    <t>15-40</t>
  </si>
  <si>
    <t>Hot water safety</t>
  </si>
  <si>
    <t>EN 1111</t>
  </si>
  <si>
    <t>Balancing Valve</t>
  </si>
  <si>
    <t>System balancing</t>
  </si>
  <si>
    <t>Flow balancing</t>
  </si>
  <si>
    <t>WATER QUALITY PARAMETERS (WHO/Uganda Standards)</t>
  </si>
  <si>
    <t>WHO Limit</t>
  </si>
  <si>
    <t>Uganda Limit</t>
  </si>
  <si>
    <t>Health Significance</t>
  </si>
  <si>
    <t>Common Source</t>
  </si>
  <si>
    <t>Treatment</t>
  </si>
  <si>
    <t>Testing</t>
  </si>
  <si>
    <t>pH</t>
  </si>
  <si>
    <t>6.5-8.5</t>
  </si>
  <si>
    <t>Corrosion/taste</t>
  </si>
  <si>
    <t>Natural/treatment</t>
  </si>
  <si>
    <t>pH adjustment</t>
  </si>
  <si>
    <t>pH meter</t>
  </si>
  <si>
    <t>Turbidity</t>
  </si>
  <si>
    <t>NTU</t>
  </si>
  <si>
    <t>&lt;5</t>
  </si>
  <si>
    <t>Pathogen indicator</t>
  </si>
  <si>
    <t>Suspended solids</t>
  </si>
  <si>
    <t>Filtration</t>
  </si>
  <si>
    <t>Turbidimeter</t>
  </si>
  <si>
    <t>Residual Chlorine</t>
  </si>
  <si>
    <t>mg/L</t>
  </si>
  <si>
    <t>0.2-0.5</t>
  </si>
  <si>
    <t>Disinfection level</t>
  </si>
  <si>
    <t>Chlorination</t>
  </si>
  <si>
    <t>DPD test</t>
  </si>
  <si>
    <t>Total Coliforms</t>
  </si>
  <si>
    <t>CFU/100mL</t>
  </si>
  <si>
    <t>Fecal contamination</t>
  </si>
  <si>
    <t>Sewage</t>
  </si>
  <si>
    <t>Lab culture</t>
  </si>
  <si>
    <t>E. coli</t>
  </si>
  <si>
    <t>Fecal indicator</t>
  </si>
  <si>
    <t>Fecal matter</t>
  </si>
  <si>
    <t>Disinfection</t>
  </si>
  <si>
    <t>Iron</t>
  </si>
  <si>
    <t>&lt;0.3</t>
  </si>
  <si>
    <t>Staining/taste</t>
  </si>
  <si>
    <t>Natural/pipes</t>
  </si>
  <si>
    <t>Aeration/filter</t>
  </si>
  <si>
    <t>Colorimetry</t>
  </si>
  <si>
    <t>TDS</t>
  </si>
  <si>
    <t>&lt;1000</t>
  </si>
  <si>
    <t>Taste/scaling</t>
  </si>
  <si>
    <t>Dissolved salts</t>
  </si>
  <si>
    <t>RO</t>
  </si>
  <si>
    <t>Conductivity</t>
  </si>
  <si>
    <t>Fluoride</t>
  </si>
  <si>
    <t>&lt;1.5</t>
  </si>
  <si>
    <t>Dental/skeletal</t>
  </si>
  <si>
    <t>Natural</t>
  </si>
  <si>
    <t>Defluoridation</t>
  </si>
  <si>
    <t>Ion electrode</t>
  </si>
  <si>
    <t>Nitrate</t>
  </si>
  <si>
    <t>&lt;50</t>
  </si>
  <si>
    <t>Infant health</t>
  </si>
  <si>
    <t>Agriculture</t>
  </si>
  <si>
    <t>Ion exchange</t>
  </si>
  <si>
    <t>Lead</t>
  </si>
  <si>
    <t>&lt;0.01</t>
  </si>
  <si>
    <t>Neurotoxic</t>
  </si>
  <si>
    <t>Old pipes</t>
  </si>
  <si>
    <t>Pipe replacement</t>
  </si>
  <si>
    <t>AAS/ICP</t>
  </si>
  <si>
    <t>ISO &amp; INTERNATIONAL STANDARDS REFERENCE</t>
  </si>
  <si>
    <t>Title/Scope</t>
  </si>
  <si>
    <t>Year</t>
  </si>
  <si>
    <t>Uganda Status</t>
  </si>
  <si>
    <t>PPR Piping Systems</t>
  </si>
  <si>
    <t>2013</t>
  </si>
  <si>
    <t>Adopted</t>
  </si>
  <si>
    <t>Hot/cold water</t>
  </si>
  <si>
    <t>Parts 1-7</t>
  </si>
  <si>
    <t>Drainage Systems</t>
  </si>
  <si>
    <t>1995</t>
  </si>
  <si>
    <t>Building drainage</t>
  </si>
  <si>
    <t>Gravity systems</t>
  </si>
  <si>
    <t>Rotodynamic Pumps</t>
  </si>
  <si>
    <t>2012</t>
  </si>
  <si>
    <t>Pump testing</t>
  </si>
  <si>
    <t>Performance</t>
  </si>
  <si>
    <t>Sanitary Fittings</t>
  </si>
  <si>
    <t>1999</t>
  </si>
  <si>
    <t>No</t>
  </si>
  <si>
    <t>Acoustics</t>
  </si>
  <si>
    <t>Safety Devices</t>
  </si>
  <si>
    <t>Safety valves</t>
  </si>
  <si>
    <t>Pressure relief</t>
  </si>
  <si>
    <t>uPVC Piping</t>
  </si>
  <si>
    <t>2009</t>
  </si>
  <si>
    <t>Cold water</t>
  </si>
  <si>
    <t>Parts 1-5</t>
  </si>
  <si>
    <t>PE Piping</t>
  </si>
  <si>
    <t>2019</t>
  </si>
  <si>
    <t>Water supply</t>
  </si>
  <si>
    <t>PE80/PE100</t>
  </si>
  <si>
    <t>BIM Information</t>
  </si>
  <si>
    <t>2018</t>
  </si>
  <si>
    <t>Digital design</t>
  </si>
  <si>
    <t>BIM standard</t>
  </si>
  <si>
    <t>Electrical Appliances</t>
  </si>
  <si>
    <t>2020</t>
  </si>
  <si>
    <t>Safety</t>
  </si>
  <si>
    <t>CPVC Piping</t>
  </si>
  <si>
    <t>Hot water</t>
  </si>
  <si>
    <t>ASTM</t>
  </si>
  <si>
    <t>US standard</t>
  </si>
  <si>
    <t>PIPE MATERIALS</t>
  </si>
  <si>
    <t>Sizes Available</t>
  </si>
  <si>
    <t>Galvanized Iron</t>
  </si>
  <si>
    <t>General water supply</t>
  </si>
  <si>
    <t>15-150mm</t>
  </si>
  <si>
    <t>BS EN 10255</t>
  </si>
  <si>
    <t>Hot &amp; cold water</t>
  </si>
  <si>
    <t>15-100mm</t>
  </si>
  <si>
    <t>PPR-C</t>
  </si>
  <si>
    <t>20-110mm</t>
  </si>
  <si>
    <t>Underground water</t>
  </si>
  <si>
    <t>20-315mm</t>
  </si>
  <si>
    <t>PVC-U</t>
  </si>
  <si>
    <t>Cold water/drainage</t>
  </si>
  <si>
    <t>20-400mm</t>
  </si>
  <si>
    <t>50-300mm</t>
  </si>
  <si>
    <t>BS EN 877</t>
  </si>
  <si>
    <t>Copper</t>
  </si>
  <si>
    <t>Premium water supply</t>
  </si>
  <si>
    <t>15-54mm</t>
  </si>
  <si>
    <t>BS EN 1057</t>
  </si>
  <si>
    <t>Air Admittance</t>
  </si>
  <si>
    <t>Drainage venting</t>
  </si>
  <si>
    <t>32-110mm</t>
  </si>
  <si>
    <t>KEY STANDARDS</t>
  </si>
  <si>
    <t>Title</t>
  </si>
  <si>
    <t>Uganda Adoption</t>
  </si>
  <si>
    <t>Plastic piping systems - Polypropylene</t>
  </si>
  <si>
    <t>PPR piping systems</t>
  </si>
  <si>
    <t>Full adoption</t>
  </si>
  <si>
    <t>Pipework components - DN designation</t>
  </si>
  <si>
    <t>Pipe sizing nomenclature</t>
  </si>
  <si>
    <t>Plastic piping systems - PVC-U</t>
  </si>
  <si>
    <t>PVC water supply systems</t>
  </si>
  <si>
    <t>BS 6700</t>
  </si>
  <si>
    <t>Design, installation, testing and maintenance</t>
  </si>
  <si>
    <t>General plumbing practice</t>
  </si>
  <si>
    <t>Partial adoption</t>
  </si>
  <si>
    <t>EN 806</t>
  </si>
  <si>
    <t>Specifications for installations inside buildings</t>
  </si>
  <si>
    <t>Building water systems</t>
  </si>
  <si>
    <t>Reference only</t>
  </si>
  <si>
    <t>National Water &amp; Sewerage Corporation Standards</t>
  </si>
  <si>
    <t>Uganda water supply</t>
  </si>
  <si>
    <t>ASHRAE 188</t>
  </si>
  <si>
    <t>Legionellosis risk management</t>
  </si>
  <si>
    <t>Water system safety</t>
  </si>
  <si>
    <t>Best practice</t>
  </si>
  <si>
    <t>NSF/ANSI 61</t>
  </si>
  <si>
    <t>Drinking water system components</t>
  </si>
  <si>
    <t>Material safety</t>
  </si>
  <si>
    <t>PRV</t>
  </si>
  <si>
    <t>TPR</t>
  </si>
  <si>
    <t>BUTT</t>
  </si>
  <si>
    <t>NRV</t>
  </si>
  <si>
    <t>FLOAT</t>
  </si>
  <si>
    <t>MIX</t>
  </si>
  <si>
    <t>BAL</t>
  </si>
  <si>
    <t>PPRC</t>
  </si>
  <si>
    <t>COPPER</t>
  </si>
  <si>
    <t>CH</t>
  </si>
  <si>
    <t>BL</t>
  </si>
  <si>
    <t>GT</t>
  </si>
  <si>
    <t>GL</t>
  </si>
  <si>
    <t>AAV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</si>
</sst>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2"/>
      <color rgb="FF2B579A"/>
      <name val="Calibri"/>
    </font>
    <font>
      <b/>
      <sz val="14"/>
      <name val="Calibri"/>
    </font>
    <font>
      <i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008000"/>
      <name val="Calibri"/>
    </font>
    <font>
      <b/>
      <sz val="14"/>
      <color rgb="FF1F4E78"/>
      <name val="Calibri"/>
    </font>
    <font>
      <b/>
      <sz val="10"/>
      <color rgb="FFFFFFFF"/>
      <name val="Calibri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sz val="10"/>
      <color rgb="FF0000FF"/>
      <name val="Cambria"/>
      <charset val="1"/>
    </font>
    <font>
      <i/>
      <sz val="10"/>
      <name val="Cambria"/>
      <charset val="1"/>
    </font>
    <font>
      <sz val="10"/>
      <color rgb="FF000000"/>
      <name val="Cambria"/>
      <charset val="1"/>
    </font>
    <font>
      <i/>
      <sz val="9"/>
      <name val="Cambria"/>
      <charset val="1"/>
    </font>
    <font>
      <b/>
      <sz val="14"/>
      <color rgb="FFFFFFFF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366092"/>
        <bgColor rgb="FF1F4E78"/>
      </patternFill>
    </fill>
    <fill>
      <patternFill patternType="solid">
        <fgColor rgb="FF4472C4"/>
        <bgColor rgb="FF366092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4E78"/>
        <bgColor rgb="FF36609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9" fillId="4" borderId="0" xfId="0" applyFont="1" applyFill="1" applyAlignment="1">
      <alignment horizontal="center" wrapText="1"/>
    </xf>
    <xf numFmtId="0" fontId="11" fillId="0" borderId="0" xfId="0" applyFont="1"/>
    <xf numFmtId="0" fontId="12" fillId="7" borderId="1" xfId="0" applyFont="1" applyFill="1" applyBorder="1"/>
    <xf numFmtId="0" fontId="13" fillId="0" borderId="0" xfId="0" applyFont="1"/>
    <xf numFmtId="2" fontId="14" fillId="0" borderId="1" xfId="0" applyNumberFormat="1" applyFont="1" applyBorder="1"/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6" borderId="1" xfId="0" applyFont="1" applyFill="1" applyBorder="1" applyAlignment="1">
      <alignment horizontal="center" vertical="center"/>
    </xf>
    <xf numFmtId="0" fontId="4" fillId="3" borderId="0" xfId="0" applyFont="1" applyFill="1"/>
    <xf numFmtId="0" fontId="0" fillId="0" borderId="0" xfId="0"/>
    <xf numFmtId="0" fontId="15" fillId="0" borderId="0" xfId="0" applyFont="1"/>
    <xf numFmtId="0" fontId="10" fillId="5" borderId="0" xfId="0" applyFont="1" applyFill="1"/>
    <xf numFmtId="0" fontId="0" fillId="0" borderId="1" xfId="0" applyBorder="1"/>
    <xf numFmtId="0" fontId="11" fillId="6" borderId="0" xfId="0" applyFont="1" applyFill="1"/>
    <xf numFmtId="0" fontId="16" fillId="9" borderId="0" xfId="0" applyFont="1" applyFill="1" applyAlignment="1">
      <alignment horizontal="center" vertical="center"/>
    </xf>
    <xf numFmtId="0" fontId="8" fillId="0" borderId="0" xfId="0" applyFont="1"/>
    <xf numFmtId="0" fontId="13" fillId="0" borderId="0" xfId="0" applyFont="1"/>
    <xf numFmtId="0" fontId="11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"/>
  <sheetViews>
    <sheetView tabSelected="1" topLeftCell="A184" workbookViewId="0">
      <selection activeCell="E131" sqref="E131"/>
    </sheetView>
  </sheetViews>
  <sheetFormatPr defaultRowHeight="15" x14ac:dyDescent="0.25"/>
  <cols>
    <col min="1" max="9" width="20" customWidth="1"/>
  </cols>
  <sheetData>
    <row r="1" spans="1:7" ht="18.75" customHeight="1" x14ac:dyDescent="0.3">
      <c r="A1" s="4" t="s">
        <v>0</v>
      </c>
    </row>
    <row r="2" spans="1:7" x14ac:dyDescent="0.25">
      <c r="A2" s="5" t="s">
        <v>1</v>
      </c>
    </row>
    <row r="4" spans="1:7" ht="15.75" customHeight="1" x14ac:dyDescent="0.25">
      <c r="A4" s="3" t="s">
        <v>2</v>
      </c>
    </row>
    <row r="5" spans="1:7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 x14ac:dyDescent="0.25">
      <c r="A6" s="2" t="s">
        <v>10</v>
      </c>
      <c r="B6" s="7">
        <v>10</v>
      </c>
      <c r="C6" s="2">
        <v>3</v>
      </c>
      <c r="D6">
        <v>0</v>
      </c>
      <c r="E6" s="2">
        <v>4</v>
      </c>
      <c r="F6" s="8">
        <f t="shared" ref="F6:F15" si="0">B6*(C6+D6)</f>
        <v>30</v>
      </c>
      <c r="G6" s="8">
        <f t="shared" ref="G6:G15" si="1">B6*E6</f>
        <v>40</v>
      </c>
    </row>
    <row r="7" spans="1:7" x14ac:dyDescent="0.25">
      <c r="A7" s="2" t="s">
        <v>11</v>
      </c>
      <c r="B7" s="7">
        <v>5</v>
      </c>
      <c r="C7" s="2">
        <v>6</v>
      </c>
      <c r="D7">
        <v>0</v>
      </c>
      <c r="E7" s="2">
        <v>8</v>
      </c>
      <c r="F7" s="8">
        <f t="shared" si="0"/>
        <v>30</v>
      </c>
      <c r="G7" s="8">
        <f t="shared" si="1"/>
        <v>40</v>
      </c>
    </row>
    <row r="8" spans="1:7" x14ac:dyDescent="0.25">
      <c r="A8" s="2" t="s">
        <v>12</v>
      </c>
      <c r="B8" s="7">
        <v>15</v>
      </c>
      <c r="C8" s="2">
        <v>1.5</v>
      </c>
      <c r="D8" s="2">
        <v>1.5</v>
      </c>
      <c r="E8" s="2">
        <v>1</v>
      </c>
      <c r="F8" s="8">
        <f t="shared" si="0"/>
        <v>45</v>
      </c>
      <c r="G8" s="8">
        <f t="shared" si="1"/>
        <v>15</v>
      </c>
    </row>
    <row r="9" spans="1:7" x14ac:dyDescent="0.25">
      <c r="A9" s="2" t="s">
        <v>13</v>
      </c>
      <c r="B9" s="7">
        <v>5</v>
      </c>
      <c r="C9" s="2">
        <v>2</v>
      </c>
      <c r="D9" s="2">
        <v>2</v>
      </c>
      <c r="E9" s="2">
        <v>2</v>
      </c>
      <c r="F9" s="8">
        <f t="shared" si="0"/>
        <v>20</v>
      </c>
      <c r="G9" s="8">
        <f t="shared" si="1"/>
        <v>10</v>
      </c>
    </row>
    <row r="10" spans="1:7" x14ac:dyDescent="0.25">
      <c r="A10" s="2" t="s">
        <v>14</v>
      </c>
      <c r="B10" s="7">
        <v>8</v>
      </c>
      <c r="C10" s="2">
        <v>2</v>
      </c>
      <c r="D10" s="2">
        <v>2</v>
      </c>
      <c r="E10" s="2">
        <v>2</v>
      </c>
      <c r="F10" s="8">
        <f t="shared" si="0"/>
        <v>32</v>
      </c>
      <c r="G10" s="8">
        <f t="shared" si="1"/>
        <v>16</v>
      </c>
    </row>
    <row r="11" spans="1:7" x14ac:dyDescent="0.25">
      <c r="A11" s="2" t="s">
        <v>15</v>
      </c>
      <c r="B11" s="7">
        <v>4</v>
      </c>
      <c r="C11" s="2">
        <v>3</v>
      </c>
      <c r="D11" s="2">
        <v>3</v>
      </c>
      <c r="E11" s="2">
        <v>3</v>
      </c>
      <c r="F11" s="8">
        <f t="shared" si="0"/>
        <v>24</v>
      </c>
      <c r="G11" s="8">
        <f t="shared" si="1"/>
        <v>12</v>
      </c>
    </row>
    <row r="12" spans="1:7" x14ac:dyDescent="0.25">
      <c r="A12" s="2" t="s">
        <v>16</v>
      </c>
      <c r="B12" s="7">
        <v>6</v>
      </c>
      <c r="C12" s="2">
        <v>5</v>
      </c>
      <c r="D12">
        <v>0</v>
      </c>
      <c r="E12" s="2">
        <v>4</v>
      </c>
      <c r="F12" s="8">
        <f t="shared" si="0"/>
        <v>30</v>
      </c>
      <c r="G12" s="8">
        <f t="shared" si="1"/>
        <v>24</v>
      </c>
    </row>
    <row r="13" spans="1:7" x14ac:dyDescent="0.25">
      <c r="A13" s="2" t="s">
        <v>17</v>
      </c>
      <c r="B13" s="7">
        <v>10</v>
      </c>
      <c r="C13">
        <v>0</v>
      </c>
      <c r="D13">
        <v>0</v>
      </c>
      <c r="E13" s="2">
        <v>2</v>
      </c>
      <c r="F13" s="8">
        <f t="shared" si="0"/>
        <v>0</v>
      </c>
      <c r="G13" s="8">
        <f t="shared" si="1"/>
        <v>20</v>
      </c>
    </row>
    <row r="14" spans="1:7" x14ac:dyDescent="0.25">
      <c r="A14" s="2" t="s">
        <v>18</v>
      </c>
      <c r="B14" s="7">
        <v>3</v>
      </c>
      <c r="C14" s="2">
        <v>0.5</v>
      </c>
      <c r="D14">
        <v>0</v>
      </c>
      <c r="E14" s="2">
        <v>0.5</v>
      </c>
      <c r="F14" s="8">
        <f t="shared" si="0"/>
        <v>1.5</v>
      </c>
      <c r="G14" s="8">
        <f t="shared" si="1"/>
        <v>1.5</v>
      </c>
    </row>
    <row r="15" spans="1:7" x14ac:dyDescent="0.25">
      <c r="A15" s="2" t="s">
        <v>19</v>
      </c>
      <c r="B15" s="7">
        <v>4</v>
      </c>
      <c r="C15" s="2">
        <v>3</v>
      </c>
      <c r="D15">
        <v>0</v>
      </c>
      <c r="E15">
        <v>0</v>
      </c>
      <c r="F15" s="8">
        <f t="shared" si="0"/>
        <v>12</v>
      </c>
      <c r="G15" s="8">
        <f t="shared" si="1"/>
        <v>0</v>
      </c>
    </row>
    <row r="17" spans="1:7" x14ac:dyDescent="0.25">
      <c r="A17" s="2" t="s">
        <v>20</v>
      </c>
      <c r="F17" s="9">
        <f>SUM(F6:F15)</f>
        <v>224.5</v>
      </c>
      <c r="G17" s="9">
        <f>SUM(G6:G15)</f>
        <v>178.5</v>
      </c>
    </row>
    <row r="19" spans="1:7" ht="15.75" customHeight="1" x14ac:dyDescent="0.25">
      <c r="A19" s="3" t="s">
        <v>21</v>
      </c>
    </row>
    <row r="20" spans="1:7" x14ac:dyDescent="0.25">
      <c r="A20" s="2" t="s">
        <v>22</v>
      </c>
      <c r="B20" s="8">
        <f>F17</f>
        <v>224.5</v>
      </c>
    </row>
    <row r="21" spans="1:7" x14ac:dyDescent="0.25">
      <c r="A21" s="2" t="s">
        <v>23</v>
      </c>
      <c r="B21" s="8">
        <f>IF(B20&lt;=35, 0.4*SQRT(B20)+5, IF(B20&lt;=80, 0.25*SQRT(B20)+12, 0.35*SQRT(B20)+7))</f>
        <v>12.244163422320094</v>
      </c>
    </row>
    <row r="22" spans="1:7" x14ac:dyDescent="0.25">
      <c r="A22" s="2" t="s">
        <v>24</v>
      </c>
      <c r="B22" s="7">
        <v>8</v>
      </c>
    </row>
    <row r="23" spans="1:7" x14ac:dyDescent="0.25">
      <c r="A23" s="2" t="s">
        <v>25</v>
      </c>
      <c r="B23" s="9">
        <f>SQRT((B21*0.002228)/(PI()*B22/4))*12</f>
        <v>0.79070314074139492</v>
      </c>
    </row>
    <row r="24" spans="1:7" x14ac:dyDescent="0.25">
      <c r="A24" s="2" t="s">
        <v>26</v>
      </c>
      <c r="B24" s="9">
        <f>IF(B23&lt;=0.75,0.75,IF(B23&lt;=1,1,IF(B23&lt;=1.25,1.25,IF(B23&lt;=1.5,1.5,IF(B23&lt;=2,2,IF(B23&lt;=2.5,2.5,IF(B23&lt;=3,3,IF(B23&lt;=4,4,6))))))))</f>
        <v>1</v>
      </c>
    </row>
    <row r="28" spans="1:7" ht="18.75" customHeight="1" x14ac:dyDescent="0.3">
      <c r="A28" s="4" t="s">
        <v>27</v>
      </c>
    </row>
    <row r="29" spans="1:7" x14ac:dyDescent="0.25">
      <c r="A29" s="5" t="s">
        <v>28</v>
      </c>
    </row>
    <row r="31" spans="1:7" ht="15.75" customHeight="1" x14ac:dyDescent="0.25">
      <c r="A31" s="3" t="s">
        <v>29</v>
      </c>
      <c r="D31" s="3" t="s">
        <v>30</v>
      </c>
    </row>
    <row r="32" spans="1:7" x14ac:dyDescent="0.25">
      <c r="A32" s="2" t="s">
        <v>31</v>
      </c>
      <c r="B32" s="7" t="s">
        <v>32</v>
      </c>
      <c r="D32" s="2" t="s">
        <v>33</v>
      </c>
      <c r="E32" s="7">
        <v>300</v>
      </c>
    </row>
    <row r="33" spans="1:5" x14ac:dyDescent="0.25">
      <c r="A33" s="2" t="s">
        <v>34</v>
      </c>
      <c r="B33" s="7">
        <v>100</v>
      </c>
      <c r="D33" s="2" t="s">
        <v>35</v>
      </c>
      <c r="E33" s="7">
        <v>25</v>
      </c>
    </row>
    <row r="34" spans="1:5" x14ac:dyDescent="0.25">
      <c r="A34" s="2" t="s">
        <v>36</v>
      </c>
      <c r="B34" s="7">
        <v>150</v>
      </c>
      <c r="D34" s="2" t="s">
        <v>37</v>
      </c>
      <c r="E34" s="7">
        <v>10</v>
      </c>
    </row>
    <row r="35" spans="1:5" x14ac:dyDescent="0.25">
      <c r="A35" s="2" t="s">
        <v>38</v>
      </c>
      <c r="B35" s="7">
        <v>2</v>
      </c>
      <c r="D35" s="2" t="s">
        <v>39</v>
      </c>
      <c r="E35" s="8">
        <f>E33+E34</f>
        <v>35</v>
      </c>
    </row>
    <row r="36" spans="1:5" x14ac:dyDescent="0.25">
      <c r="A36" s="2" t="s">
        <v>40</v>
      </c>
      <c r="B36" s="7">
        <v>10000</v>
      </c>
      <c r="D36" s="2" t="s">
        <v>41</v>
      </c>
      <c r="E36" s="9">
        <f>(E32*E35*9.81)/(60000*0.7)</f>
        <v>2.4525000000000001</v>
      </c>
    </row>
    <row r="37" spans="1:5" x14ac:dyDescent="0.25">
      <c r="A37" s="2" t="s">
        <v>42</v>
      </c>
      <c r="B37" s="9">
        <f>(B33*B34*B35)+B36</f>
        <v>40000</v>
      </c>
      <c r="D37" s="2" t="s">
        <v>43</v>
      </c>
      <c r="E37" s="9">
        <f>IF(E36&lt;=0.75,1,IF(E36&lt;=1.5,2,IF(E36&lt;=2.2,3,IF(E36&lt;=3.7,5,IF(E36&lt;=5.5,7.5,IF(E36&lt;=7.5,10,15))))))</f>
        <v>5</v>
      </c>
    </row>
    <row r="38" spans="1:5" x14ac:dyDescent="0.25">
      <c r="A38" s="2" t="s">
        <v>44</v>
      </c>
      <c r="B38" s="9">
        <f>B37/1000</f>
        <v>40</v>
      </c>
    </row>
    <row r="40" spans="1:5" ht="15.75" customHeight="1" x14ac:dyDescent="0.25">
      <c r="A40" s="3" t="s">
        <v>45</v>
      </c>
    </row>
    <row r="41" spans="1:5" x14ac:dyDescent="0.25">
      <c r="A41" s="2" t="s">
        <v>46</v>
      </c>
      <c r="B41" s="7">
        <v>30</v>
      </c>
    </row>
    <row r="42" spans="1:5" x14ac:dyDescent="0.25">
      <c r="A42" s="2" t="s">
        <v>47</v>
      </c>
      <c r="B42" s="8">
        <f>B41*0.098</f>
        <v>2.94</v>
      </c>
    </row>
    <row r="43" spans="1:5" x14ac:dyDescent="0.25">
      <c r="A43" s="2" t="s">
        <v>48</v>
      </c>
      <c r="B43" s="7">
        <v>1.5</v>
      </c>
    </row>
    <row r="44" spans="1:5" x14ac:dyDescent="0.25">
      <c r="A44" s="2" t="s">
        <v>49</v>
      </c>
      <c r="B44" s="7">
        <v>2</v>
      </c>
    </row>
    <row r="45" spans="1:5" x14ac:dyDescent="0.25">
      <c r="A45" s="2" t="s">
        <v>50</v>
      </c>
      <c r="B45" s="9">
        <f>B42+B43+B44</f>
        <v>6.4399999999999995</v>
      </c>
    </row>
    <row r="48" spans="1:5" ht="18.75" customHeight="1" x14ac:dyDescent="0.3">
      <c r="A48" s="4" t="s">
        <v>51</v>
      </c>
    </row>
    <row r="49" spans="1:8" x14ac:dyDescent="0.25">
      <c r="A49" s="5" t="s">
        <v>52</v>
      </c>
    </row>
    <row r="51" spans="1:8" ht="15.75" customHeight="1" x14ac:dyDescent="0.25">
      <c r="A51" s="3" t="s">
        <v>53</v>
      </c>
      <c r="D51" s="3" t="s">
        <v>54</v>
      </c>
    </row>
    <row r="52" spans="1:8" x14ac:dyDescent="0.25">
      <c r="A52" s="2" t="s">
        <v>55</v>
      </c>
      <c r="B52" s="8">
        <f>'FIXTURE CALCULATIONS'!G17</f>
        <v>178.5</v>
      </c>
      <c r="D52" s="2" t="s">
        <v>56</v>
      </c>
      <c r="E52" s="7">
        <v>50</v>
      </c>
    </row>
    <row r="53" spans="1:8" x14ac:dyDescent="0.25">
      <c r="A53" s="2" t="s">
        <v>57</v>
      </c>
      <c r="B53" s="9">
        <f>IF(B52&lt;=48,3,IF(B52&lt;=256,4,IF(B52&lt;=600,5,IF(B52&lt;=1380,6,8))))</f>
        <v>4</v>
      </c>
      <c r="D53" s="2" t="s">
        <v>58</v>
      </c>
      <c r="E53" s="7">
        <v>120</v>
      </c>
    </row>
    <row r="54" spans="1:8" x14ac:dyDescent="0.25">
      <c r="A54" s="2" t="s">
        <v>59</v>
      </c>
      <c r="B54" s="8">
        <f>IF(B52&lt;=36,3,IF(B52&lt;=256,4,IF(B52&lt;=575,5,IF(B52&lt;=1000,6,8))))</f>
        <v>4</v>
      </c>
      <c r="D54" s="2" t="s">
        <v>60</v>
      </c>
      <c r="E54" s="7">
        <v>2.5</v>
      </c>
    </row>
    <row r="55" spans="1:8" x14ac:dyDescent="0.25">
      <c r="A55" s="2" t="s">
        <v>61</v>
      </c>
      <c r="B55" s="9">
        <f>IF(B52&lt;=21,3,IF(B52&lt;=180,4,IF(B52&lt;=390,5,IF(B52&lt;=700,6,8))))</f>
        <v>4</v>
      </c>
      <c r="D55" s="2" t="s">
        <v>62</v>
      </c>
      <c r="E55" s="7">
        <v>180</v>
      </c>
    </row>
    <row r="56" spans="1:8" x14ac:dyDescent="0.25">
      <c r="A56" s="2" t="s">
        <v>63</v>
      </c>
      <c r="B56" s="8">
        <f>IF(B52&lt;=16,3,IF(B52&lt;=158,4,IF(B52&lt;=360,5,IF(B52&lt;=620,6,8))))</f>
        <v>5</v>
      </c>
      <c r="D56" s="2" t="s">
        <v>64</v>
      </c>
      <c r="E56" s="8">
        <f>E52*E53*E54</f>
        <v>15000</v>
      </c>
    </row>
    <row r="57" spans="1:8" x14ac:dyDescent="0.25">
      <c r="D57" s="2" t="s">
        <v>65</v>
      </c>
      <c r="E57" s="8">
        <f>E52*0.04*E55</f>
        <v>360</v>
      </c>
    </row>
    <row r="58" spans="1:8" x14ac:dyDescent="0.25">
      <c r="D58" s="2" t="s">
        <v>66</v>
      </c>
      <c r="E58" s="9">
        <f>E56+E57</f>
        <v>15360</v>
      </c>
    </row>
    <row r="59" spans="1:8" x14ac:dyDescent="0.25">
      <c r="D59" s="2" t="s">
        <v>67</v>
      </c>
      <c r="E59" s="9">
        <f>E58/1000</f>
        <v>15.36</v>
      </c>
    </row>
    <row r="62" spans="1:8" ht="18" customHeight="1" x14ac:dyDescent="0.25">
      <c r="A62" s="31" t="s">
        <v>68</v>
      </c>
      <c r="B62" s="26"/>
      <c r="C62" s="26"/>
      <c r="D62" s="26"/>
      <c r="E62" s="26"/>
      <c r="F62" s="26"/>
      <c r="G62" s="26"/>
      <c r="H62" s="26"/>
    </row>
    <row r="63" spans="1:8" x14ac:dyDescent="0.25">
      <c r="A63" s="33" t="s">
        <v>69</v>
      </c>
      <c r="B63" s="26"/>
      <c r="C63" s="26"/>
      <c r="D63" s="26"/>
      <c r="E63" s="26"/>
      <c r="F63" s="26"/>
      <c r="G63" s="26"/>
      <c r="H63" s="26"/>
    </row>
    <row r="65" spans="1:8" ht="15.75" customHeight="1" x14ac:dyDescent="0.25">
      <c r="A65" s="28" t="s">
        <v>70</v>
      </c>
      <c r="B65" s="26"/>
      <c r="C65" s="26"/>
      <c r="D65" s="26"/>
      <c r="E65" s="26"/>
      <c r="F65" s="26"/>
      <c r="G65" s="26"/>
      <c r="H65" s="26"/>
    </row>
    <row r="66" spans="1:8" x14ac:dyDescent="0.25">
      <c r="A66" s="18" t="s">
        <v>71</v>
      </c>
      <c r="B66" s="18" t="s">
        <v>72</v>
      </c>
      <c r="C66" s="18" t="s">
        <v>73</v>
      </c>
      <c r="D66" s="18" t="s">
        <v>74</v>
      </c>
      <c r="E66" s="18" t="s">
        <v>75</v>
      </c>
    </row>
    <row r="67" spans="1:8" x14ac:dyDescent="0.25">
      <c r="A67" s="15" t="s">
        <v>76</v>
      </c>
      <c r="B67" s="17" t="s">
        <v>77</v>
      </c>
      <c r="C67" s="20">
        <v>9.81</v>
      </c>
      <c r="D67" s="17" t="s">
        <v>78</v>
      </c>
      <c r="E67" s="15" t="s">
        <v>79</v>
      </c>
    </row>
    <row r="68" spans="1:8" x14ac:dyDescent="0.25">
      <c r="A68" s="15" t="s">
        <v>80</v>
      </c>
      <c r="B68" s="17" t="s">
        <v>81</v>
      </c>
      <c r="C68" s="20">
        <v>1000</v>
      </c>
      <c r="D68" s="17" t="s">
        <v>82</v>
      </c>
      <c r="E68" s="15" t="s">
        <v>83</v>
      </c>
    </row>
    <row r="69" spans="1:8" x14ac:dyDescent="0.25">
      <c r="A69" s="15" t="s">
        <v>84</v>
      </c>
      <c r="B69" s="17" t="s">
        <v>85</v>
      </c>
      <c r="C69" s="20">
        <v>200</v>
      </c>
      <c r="D69" s="17" t="s">
        <v>86</v>
      </c>
      <c r="E69" s="15" t="s">
        <v>87</v>
      </c>
    </row>
    <row r="70" spans="1:8" x14ac:dyDescent="0.25">
      <c r="A70" s="15" t="s">
        <v>88</v>
      </c>
      <c r="B70" s="17" t="s">
        <v>89</v>
      </c>
      <c r="C70" s="20">
        <v>400</v>
      </c>
      <c r="D70" s="17" t="s">
        <v>86</v>
      </c>
      <c r="E70" s="15" t="s">
        <v>90</v>
      </c>
    </row>
    <row r="71" spans="1:8" x14ac:dyDescent="0.25">
      <c r="A71" s="15" t="s">
        <v>91</v>
      </c>
      <c r="B71" s="17" t="s">
        <v>92</v>
      </c>
      <c r="C71" s="20">
        <v>15</v>
      </c>
      <c r="D71" s="17" t="s">
        <v>93</v>
      </c>
      <c r="E71" s="15" t="s">
        <v>94</v>
      </c>
    </row>
    <row r="72" spans="1:8" x14ac:dyDescent="0.25">
      <c r="A72" s="15" t="s">
        <v>95</v>
      </c>
      <c r="B72" s="17" t="s">
        <v>96</v>
      </c>
      <c r="C72" s="20">
        <v>65</v>
      </c>
      <c r="D72" s="17" t="s">
        <v>93</v>
      </c>
      <c r="E72" s="15" t="s">
        <v>97</v>
      </c>
    </row>
    <row r="73" spans="1:8" x14ac:dyDescent="0.25">
      <c r="A73" s="15" t="s">
        <v>98</v>
      </c>
      <c r="B73" s="17" t="s">
        <v>99</v>
      </c>
      <c r="C73" s="20">
        <v>55</v>
      </c>
      <c r="D73" s="17" t="s">
        <v>93</v>
      </c>
      <c r="E73" s="15" t="s">
        <v>100</v>
      </c>
    </row>
    <row r="74" spans="1:8" x14ac:dyDescent="0.25">
      <c r="A74" s="15" t="s">
        <v>101</v>
      </c>
      <c r="B74" s="17" t="s">
        <v>102</v>
      </c>
      <c r="C74" s="20">
        <v>1300</v>
      </c>
      <c r="D74" s="17" t="s">
        <v>103</v>
      </c>
      <c r="E74" s="15" t="s">
        <v>104</v>
      </c>
    </row>
    <row r="75" spans="1:8" x14ac:dyDescent="0.25">
      <c r="A75" s="15" t="s">
        <v>105</v>
      </c>
      <c r="B75" s="17" t="s">
        <v>106</v>
      </c>
      <c r="C75" s="20">
        <v>150</v>
      </c>
      <c r="D75" s="17" t="s">
        <v>107</v>
      </c>
      <c r="E75" s="15" t="s">
        <v>108</v>
      </c>
    </row>
    <row r="76" spans="1:8" x14ac:dyDescent="0.25">
      <c r="A76" s="15" t="s">
        <v>109</v>
      </c>
      <c r="B76" s="17" t="s">
        <v>110</v>
      </c>
      <c r="C76" s="20">
        <v>125</v>
      </c>
      <c r="D76" s="17" t="s">
        <v>111</v>
      </c>
      <c r="E76" s="15" t="s">
        <v>112</v>
      </c>
    </row>
    <row r="77" spans="1:8" x14ac:dyDescent="0.25">
      <c r="A77" s="15" t="s">
        <v>113</v>
      </c>
      <c r="B77" s="17" t="s">
        <v>114</v>
      </c>
      <c r="C77" s="20">
        <v>50</v>
      </c>
      <c r="D77" s="17" t="s">
        <v>111</v>
      </c>
      <c r="E77" s="15" t="s">
        <v>115</v>
      </c>
    </row>
    <row r="78" spans="1:8" x14ac:dyDescent="0.25">
      <c r="A78" s="15" t="s">
        <v>116</v>
      </c>
      <c r="B78" s="17" t="s">
        <v>117</v>
      </c>
      <c r="C78" s="20">
        <v>300</v>
      </c>
      <c r="D78" s="17" t="s">
        <v>118</v>
      </c>
      <c r="E78" s="15" t="s">
        <v>119</v>
      </c>
    </row>
    <row r="79" spans="1:8" x14ac:dyDescent="0.25">
      <c r="A79" s="15" t="s">
        <v>120</v>
      </c>
      <c r="B79" s="17" t="s">
        <v>121</v>
      </c>
      <c r="C79" s="20">
        <v>25</v>
      </c>
      <c r="D79" s="17" t="s">
        <v>122</v>
      </c>
      <c r="E79" s="15" t="s">
        <v>123</v>
      </c>
    </row>
    <row r="80" spans="1:8" x14ac:dyDescent="0.25">
      <c r="A80" s="15" t="s">
        <v>124</v>
      </c>
      <c r="B80" s="17" t="s">
        <v>125</v>
      </c>
      <c r="C80" s="20">
        <v>24</v>
      </c>
      <c r="D80" s="17" t="s">
        <v>126</v>
      </c>
      <c r="E80" s="15" t="s">
        <v>127</v>
      </c>
    </row>
    <row r="81" spans="1:8" x14ac:dyDescent="0.25">
      <c r="A81" s="15" t="s">
        <v>128</v>
      </c>
      <c r="B81" s="17" t="s">
        <v>129</v>
      </c>
      <c r="C81" s="20">
        <v>48</v>
      </c>
      <c r="D81" s="17" t="s">
        <v>126</v>
      </c>
      <c r="E81" s="15" t="s">
        <v>130</v>
      </c>
    </row>
    <row r="82" spans="1:8" x14ac:dyDescent="0.25">
      <c r="A82" s="15" t="s">
        <v>131</v>
      </c>
      <c r="B82" s="17" t="s">
        <v>132</v>
      </c>
      <c r="C82" s="20">
        <v>1.4999999999999999E-4</v>
      </c>
      <c r="D82" s="17" t="s">
        <v>133</v>
      </c>
      <c r="E82" s="15" t="s">
        <v>134</v>
      </c>
    </row>
    <row r="83" spans="1:8" x14ac:dyDescent="0.25">
      <c r="A83" s="15" t="s">
        <v>135</v>
      </c>
      <c r="B83" s="17" t="s">
        <v>136</v>
      </c>
      <c r="C83" s="20">
        <v>6.6000000000000005E-5</v>
      </c>
      <c r="D83" s="17" t="s">
        <v>133</v>
      </c>
      <c r="E83" s="15" t="s">
        <v>134</v>
      </c>
    </row>
    <row r="84" spans="1:8" x14ac:dyDescent="0.25">
      <c r="A84" s="15" t="s">
        <v>137</v>
      </c>
      <c r="B84" s="17" t="s">
        <v>138</v>
      </c>
      <c r="C84" s="20">
        <v>1.3999999999999999E-4</v>
      </c>
      <c r="D84" s="17" t="s">
        <v>133</v>
      </c>
      <c r="E84" s="15" t="s">
        <v>134</v>
      </c>
    </row>
    <row r="85" spans="1:8" x14ac:dyDescent="0.25">
      <c r="A85" s="15" t="s">
        <v>139</v>
      </c>
      <c r="B85" s="17" t="s">
        <v>140</v>
      </c>
      <c r="C85" s="20">
        <v>2.5</v>
      </c>
      <c r="D85" s="17" t="s">
        <v>141</v>
      </c>
      <c r="E85" s="15" t="s">
        <v>142</v>
      </c>
    </row>
    <row r="86" spans="1:8" x14ac:dyDescent="0.25">
      <c r="A86" s="15" t="s">
        <v>143</v>
      </c>
      <c r="B86" s="17" t="s">
        <v>144</v>
      </c>
      <c r="C86" s="20">
        <v>1</v>
      </c>
      <c r="D86" s="17" t="s">
        <v>145</v>
      </c>
      <c r="E86" s="15" t="s">
        <v>146</v>
      </c>
    </row>
    <row r="89" spans="1:8" ht="15.75" customHeight="1" x14ac:dyDescent="0.25">
      <c r="A89" s="28" t="s">
        <v>147</v>
      </c>
      <c r="B89" s="26"/>
      <c r="C89" s="26"/>
      <c r="D89" s="26"/>
      <c r="E89" s="26"/>
      <c r="F89" s="26"/>
      <c r="G89" s="26"/>
      <c r="H89" s="26"/>
    </row>
    <row r="90" spans="1:8" x14ac:dyDescent="0.25">
      <c r="A90" s="18" t="s">
        <v>148</v>
      </c>
      <c r="B90" s="18" t="s">
        <v>149</v>
      </c>
      <c r="C90" s="18" t="s">
        <v>150</v>
      </c>
      <c r="D90" s="18" t="s">
        <v>151</v>
      </c>
      <c r="E90" s="18" t="s">
        <v>152</v>
      </c>
      <c r="F90" s="18" t="s">
        <v>153</v>
      </c>
      <c r="G90" s="18" t="s">
        <v>154</v>
      </c>
      <c r="H90" s="18" t="s">
        <v>155</v>
      </c>
    </row>
    <row r="91" spans="1:8" x14ac:dyDescent="0.25">
      <c r="A91" s="17" t="s">
        <v>156</v>
      </c>
      <c r="B91" s="20">
        <v>15</v>
      </c>
      <c r="C91" s="20">
        <v>21.3</v>
      </c>
      <c r="D91" s="20">
        <v>15.8</v>
      </c>
      <c r="E91" s="19">
        <f t="shared" ref="E91:E101" si="2">F91*3.14159265359*POWER(D91/1000,2)/4*1000</f>
        <v>0.49016699377637973</v>
      </c>
      <c r="F91" s="20">
        <v>2.5</v>
      </c>
      <c r="G91" s="19">
        <f t="shared" ref="G91:G101" si="3">0.01*1000*POWER(F91,2)/(D91/1000)/1000</f>
        <v>3.9556962025316453</v>
      </c>
      <c r="H91" s="15" t="s">
        <v>157</v>
      </c>
    </row>
    <row r="92" spans="1:8" x14ac:dyDescent="0.25">
      <c r="A92" s="17" t="s">
        <v>158</v>
      </c>
      <c r="B92" s="20">
        <v>20</v>
      </c>
      <c r="C92" s="20">
        <v>26.9</v>
      </c>
      <c r="D92" s="20">
        <v>20.9</v>
      </c>
      <c r="E92" s="19">
        <f t="shared" si="2"/>
        <v>0.85767442938415472</v>
      </c>
      <c r="F92" s="20">
        <v>2.5</v>
      </c>
      <c r="G92" s="19">
        <f t="shared" si="3"/>
        <v>2.9904306220095696</v>
      </c>
      <c r="H92" s="15" t="s">
        <v>159</v>
      </c>
    </row>
    <row r="93" spans="1:8" x14ac:dyDescent="0.25">
      <c r="A93" s="17" t="s">
        <v>160</v>
      </c>
      <c r="B93" s="20">
        <v>25</v>
      </c>
      <c r="C93" s="20">
        <v>33.700000000000003</v>
      </c>
      <c r="D93" s="20">
        <v>27.7</v>
      </c>
      <c r="E93" s="19">
        <f t="shared" si="2"/>
        <v>1.5065703919831692</v>
      </c>
      <c r="F93" s="20">
        <v>2.5</v>
      </c>
      <c r="G93" s="19">
        <f t="shared" si="3"/>
        <v>2.256317689530686</v>
      </c>
      <c r="H93" s="15" t="s">
        <v>161</v>
      </c>
    </row>
    <row r="94" spans="1:8" x14ac:dyDescent="0.25">
      <c r="A94" s="17" t="s">
        <v>162</v>
      </c>
      <c r="B94" s="20">
        <v>32</v>
      </c>
      <c r="C94" s="20">
        <v>42.4</v>
      </c>
      <c r="D94" s="20">
        <v>35</v>
      </c>
      <c r="E94" s="19">
        <f t="shared" si="2"/>
        <v>2.4052818754048442</v>
      </c>
      <c r="F94" s="20">
        <v>2.5</v>
      </c>
      <c r="G94" s="19">
        <f t="shared" si="3"/>
        <v>1.7857142857142856</v>
      </c>
      <c r="H94" s="15" t="s">
        <v>163</v>
      </c>
    </row>
    <row r="95" spans="1:8" x14ac:dyDescent="0.25">
      <c r="A95" s="17" t="s">
        <v>164</v>
      </c>
      <c r="B95" s="20">
        <v>40</v>
      </c>
      <c r="C95" s="20">
        <v>48.3</v>
      </c>
      <c r="D95" s="20">
        <v>40.9</v>
      </c>
      <c r="E95" s="19">
        <f t="shared" si="2"/>
        <v>3.2845547542824294</v>
      </c>
      <c r="F95" s="20">
        <v>2.5</v>
      </c>
      <c r="G95" s="19">
        <f t="shared" si="3"/>
        <v>1.5281173594132031</v>
      </c>
      <c r="H95" s="15" t="s">
        <v>165</v>
      </c>
    </row>
    <row r="96" spans="1:8" x14ac:dyDescent="0.25">
      <c r="A96" s="17" t="s">
        <v>166</v>
      </c>
      <c r="B96" s="20">
        <v>50</v>
      </c>
      <c r="C96" s="20">
        <v>60.3</v>
      </c>
      <c r="D96" s="20">
        <v>52.5</v>
      </c>
      <c r="E96" s="19">
        <f t="shared" si="2"/>
        <v>5.4118842196608972</v>
      </c>
      <c r="F96" s="20">
        <v>2.5</v>
      </c>
      <c r="G96" s="19">
        <f t="shared" si="3"/>
        <v>1.1904761904761907</v>
      </c>
      <c r="H96" s="15" t="s">
        <v>167</v>
      </c>
    </row>
    <row r="97" spans="1:8" x14ac:dyDescent="0.25">
      <c r="A97" s="17" t="s">
        <v>168</v>
      </c>
      <c r="B97" s="20">
        <v>65</v>
      </c>
      <c r="C97" s="20">
        <v>76.099999999999994</v>
      </c>
      <c r="D97" s="20">
        <v>68.8</v>
      </c>
      <c r="E97" s="19">
        <f t="shared" si="2"/>
        <v>9.2940877063806564</v>
      </c>
      <c r="F97" s="20">
        <v>2.5</v>
      </c>
      <c r="G97" s="19">
        <f t="shared" si="3"/>
        <v>0.90843023255813959</v>
      </c>
      <c r="H97" s="15" t="s">
        <v>169</v>
      </c>
    </row>
    <row r="98" spans="1:8" x14ac:dyDescent="0.25">
      <c r="A98" s="17" t="s">
        <v>170</v>
      </c>
      <c r="B98" s="20">
        <v>80</v>
      </c>
      <c r="C98" s="20">
        <v>88.9</v>
      </c>
      <c r="D98" s="20">
        <v>80.8</v>
      </c>
      <c r="E98" s="19">
        <f t="shared" si="2"/>
        <v>12.818954663708636</v>
      </c>
      <c r="F98" s="20">
        <v>2.5</v>
      </c>
      <c r="G98" s="19">
        <f t="shared" si="3"/>
        <v>0.77351485148514865</v>
      </c>
      <c r="H98" s="15" t="s">
        <v>171</v>
      </c>
    </row>
    <row r="99" spans="1:8" x14ac:dyDescent="0.25">
      <c r="A99" s="17" t="s">
        <v>172</v>
      </c>
      <c r="B99" s="20">
        <v>100</v>
      </c>
      <c r="C99" s="20">
        <v>114.3</v>
      </c>
      <c r="D99" s="20">
        <v>105.1</v>
      </c>
      <c r="E99" s="19">
        <f t="shared" si="2"/>
        <v>21.688789917176045</v>
      </c>
      <c r="F99" s="20">
        <v>2.5</v>
      </c>
      <c r="G99" s="19">
        <f t="shared" si="3"/>
        <v>0.59467174119885824</v>
      </c>
      <c r="H99" s="15" t="s">
        <v>173</v>
      </c>
    </row>
    <row r="100" spans="1:8" x14ac:dyDescent="0.25">
      <c r="A100" s="17" t="s">
        <v>174</v>
      </c>
      <c r="B100" s="20">
        <v>125</v>
      </c>
      <c r="C100" s="20">
        <v>139.69999999999999</v>
      </c>
      <c r="D100" s="20">
        <v>128.19999999999999</v>
      </c>
      <c r="E100" s="19">
        <f t="shared" si="2"/>
        <v>32.270518277492805</v>
      </c>
      <c r="F100" s="20">
        <v>2.5</v>
      </c>
      <c r="G100" s="19">
        <f t="shared" si="3"/>
        <v>0.48751950078003126</v>
      </c>
      <c r="H100" s="15" t="s">
        <v>175</v>
      </c>
    </row>
    <row r="101" spans="1:8" x14ac:dyDescent="0.25">
      <c r="A101" s="17" t="s">
        <v>176</v>
      </c>
      <c r="B101" s="20">
        <v>150</v>
      </c>
      <c r="C101" s="20">
        <v>168.3</v>
      </c>
      <c r="D101" s="20">
        <v>154.1</v>
      </c>
      <c r="E101" s="19">
        <f t="shared" si="2"/>
        <v>46.626752401373459</v>
      </c>
      <c r="F101" s="20">
        <v>2.5</v>
      </c>
      <c r="G101" s="19">
        <f t="shared" si="3"/>
        <v>0.40558079169370542</v>
      </c>
      <c r="H101" s="15" t="s">
        <v>177</v>
      </c>
    </row>
    <row r="104" spans="1:8" ht="15.75" customHeight="1" x14ac:dyDescent="0.25">
      <c r="A104" s="28" t="s">
        <v>178</v>
      </c>
      <c r="B104" s="26"/>
      <c r="C104" s="26"/>
      <c r="D104" s="26"/>
      <c r="E104" s="26"/>
      <c r="F104" s="26"/>
      <c r="G104" s="26"/>
      <c r="H104" s="26"/>
    </row>
    <row r="105" spans="1:8" x14ac:dyDescent="0.25">
      <c r="A105" s="18" t="s">
        <v>179</v>
      </c>
      <c r="B105" s="18" t="s">
        <v>180</v>
      </c>
      <c r="C105" s="18" t="s">
        <v>181</v>
      </c>
      <c r="D105" s="24" t="s">
        <v>75</v>
      </c>
      <c r="E105" s="22"/>
      <c r="F105" s="22"/>
      <c r="G105" s="22"/>
      <c r="H105" s="23"/>
    </row>
    <row r="106" spans="1:8" x14ac:dyDescent="0.25">
      <c r="A106" s="11" t="s">
        <v>182</v>
      </c>
      <c r="B106" s="12">
        <v>10</v>
      </c>
      <c r="C106" s="14">
        <f>0.3*SQRT(B106)</f>
        <v>0.94868329805051377</v>
      </c>
      <c r="D106" s="29" t="s">
        <v>183</v>
      </c>
      <c r="E106" s="22"/>
      <c r="F106" s="22"/>
      <c r="G106" s="22"/>
      <c r="H106" s="23"/>
    </row>
    <row r="107" spans="1:8" x14ac:dyDescent="0.25">
      <c r="A107" s="11" t="s">
        <v>184</v>
      </c>
      <c r="B107" s="12">
        <v>20</v>
      </c>
      <c r="C107" s="14">
        <f>0.5*SQRT(B107)</f>
        <v>2.2360679774997898</v>
      </c>
      <c r="D107" s="29" t="s">
        <v>185</v>
      </c>
      <c r="E107" s="22"/>
      <c r="F107" s="22"/>
      <c r="G107" s="22"/>
      <c r="H107" s="23"/>
    </row>
    <row r="109" spans="1:8" ht="15.75" customHeight="1" x14ac:dyDescent="0.25">
      <c r="A109" s="28" t="s">
        <v>186</v>
      </c>
      <c r="B109" s="26"/>
      <c r="C109" s="26"/>
      <c r="D109" s="26"/>
      <c r="E109" s="26"/>
      <c r="F109" s="26"/>
      <c r="G109" s="26"/>
      <c r="H109" s="26"/>
    </row>
    <row r="110" spans="1:8" x14ac:dyDescent="0.25">
      <c r="A110" s="18" t="s">
        <v>187</v>
      </c>
      <c r="B110" s="18" t="s">
        <v>188</v>
      </c>
      <c r="C110" s="18" t="s">
        <v>189</v>
      </c>
      <c r="D110" s="18" t="s">
        <v>190</v>
      </c>
      <c r="E110" s="18" t="s">
        <v>152</v>
      </c>
      <c r="F110" s="24" t="s">
        <v>155</v>
      </c>
      <c r="G110" s="22"/>
      <c r="H110" s="23"/>
    </row>
    <row r="111" spans="1:8" x14ac:dyDescent="0.25">
      <c r="A111" s="17">
        <v>32</v>
      </c>
      <c r="B111" s="16">
        <v>1</v>
      </c>
      <c r="C111" s="16">
        <v>2</v>
      </c>
      <c r="D111" s="16">
        <v>3</v>
      </c>
      <c r="E111" s="16">
        <v>0.5</v>
      </c>
      <c r="F111" s="21" t="s">
        <v>191</v>
      </c>
      <c r="G111" s="22"/>
      <c r="H111" s="23"/>
    </row>
    <row r="112" spans="1:8" x14ac:dyDescent="0.25">
      <c r="A112" s="17">
        <v>40</v>
      </c>
      <c r="B112" s="16">
        <v>3</v>
      </c>
      <c r="C112" s="16">
        <v>6</v>
      </c>
      <c r="D112" s="16">
        <v>8</v>
      </c>
      <c r="E112" s="16">
        <v>1.2</v>
      </c>
      <c r="F112" s="21" t="s">
        <v>161</v>
      </c>
      <c r="G112" s="22"/>
      <c r="H112" s="23"/>
    </row>
    <row r="113" spans="1:8" x14ac:dyDescent="0.25">
      <c r="A113" s="17">
        <v>50</v>
      </c>
      <c r="B113" s="16">
        <v>6</v>
      </c>
      <c r="C113" s="16">
        <v>12</v>
      </c>
      <c r="D113" s="16">
        <v>20</v>
      </c>
      <c r="E113" s="16">
        <v>2.5</v>
      </c>
      <c r="F113" s="21" t="s">
        <v>192</v>
      </c>
      <c r="G113" s="22"/>
      <c r="H113" s="23"/>
    </row>
    <row r="114" spans="1:8" x14ac:dyDescent="0.25">
      <c r="A114" s="17">
        <v>75</v>
      </c>
      <c r="B114" s="16">
        <v>20</v>
      </c>
      <c r="C114" s="16">
        <v>30</v>
      </c>
      <c r="D114" s="16">
        <v>50</v>
      </c>
      <c r="E114" s="16">
        <v>6</v>
      </c>
      <c r="F114" s="21" t="s">
        <v>193</v>
      </c>
      <c r="G114" s="22"/>
      <c r="H114" s="23"/>
    </row>
    <row r="115" spans="1:8" x14ac:dyDescent="0.25">
      <c r="A115" s="17">
        <v>100</v>
      </c>
      <c r="B115" s="16">
        <v>160</v>
      </c>
      <c r="C115" s="16">
        <v>240</v>
      </c>
      <c r="D115" s="16">
        <v>380</v>
      </c>
      <c r="E115" s="16">
        <v>15</v>
      </c>
      <c r="F115" s="21" t="s">
        <v>194</v>
      </c>
      <c r="G115" s="22"/>
      <c r="H115" s="23"/>
    </row>
    <row r="116" spans="1:8" x14ac:dyDescent="0.25">
      <c r="A116" s="17">
        <v>150</v>
      </c>
      <c r="B116" s="16">
        <v>620</v>
      </c>
      <c r="C116" s="16">
        <v>930</v>
      </c>
      <c r="D116" s="16">
        <v>1470</v>
      </c>
      <c r="E116" s="16">
        <v>40</v>
      </c>
      <c r="F116" s="21" t="s">
        <v>195</v>
      </c>
      <c r="G116" s="22"/>
      <c r="H116" s="23"/>
    </row>
    <row r="117" spans="1:8" x14ac:dyDescent="0.25">
      <c r="A117" s="17">
        <v>200</v>
      </c>
      <c r="B117" s="16">
        <v>1400</v>
      </c>
      <c r="C117" s="16">
        <v>2100</v>
      </c>
      <c r="D117" s="16">
        <v>3300</v>
      </c>
      <c r="E117" s="16">
        <v>75</v>
      </c>
      <c r="F117" s="21" t="s">
        <v>196</v>
      </c>
      <c r="G117" s="22"/>
      <c r="H117" s="23"/>
    </row>
    <row r="118" spans="1:8" x14ac:dyDescent="0.25">
      <c r="A118" s="17">
        <v>250</v>
      </c>
      <c r="B118" s="16">
        <v>2500</v>
      </c>
      <c r="C118" s="16">
        <v>3800</v>
      </c>
      <c r="D118" s="16">
        <v>5600</v>
      </c>
      <c r="E118" s="16">
        <v>130</v>
      </c>
      <c r="F118" s="21" t="s">
        <v>197</v>
      </c>
      <c r="G118" s="22"/>
      <c r="H118" s="23"/>
    </row>
    <row r="121" spans="1:8" ht="15.75" customHeight="1" x14ac:dyDescent="0.25">
      <c r="A121" s="28" t="s">
        <v>30</v>
      </c>
      <c r="B121" s="26"/>
      <c r="C121" s="26"/>
      <c r="D121" s="26"/>
      <c r="E121" s="26"/>
      <c r="F121" s="26"/>
      <c r="G121" s="26"/>
      <c r="H121" s="26"/>
    </row>
    <row r="122" spans="1:8" x14ac:dyDescent="0.25">
      <c r="A122" s="30" t="s">
        <v>198</v>
      </c>
      <c r="B122" s="26"/>
    </row>
    <row r="123" spans="1:8" x14ac:dyDescent="0.25">
      <c r="A123" s="11" t="s">
        <v>199</v>
      </c>
      <c r="B123" s="12">
        <v>2</v>
      </c>
      <c r="C123" s="13" t="s">
        <v>200</v>
      </c>
    </row>
    <row r="124" spans="1:8" x14ac:dyDescent="0.25">
      <c r="A124" s="11" t="s">
        <v>35</v>
      </c>
      <c r="B124" s="12">
        <v>15</v>
      </c>
      <c r="C124" s="13" t="s">
        <v>201</v>
      </c>
    </row>
    <row r="125" spans="1:8" x14ac:dyDescent="0.25">
      <c r="A125" s="11" t="s">
        <v>202</v>
      </c>
      <c r="B125" s="12">
        <v>5</v>
      </c>
      <c r="C125" s="13" t="s">
        <v>203</v>
      </c>
    </row>
    <row r="126" spans="1:8" x14ac:dyDescent="0.25">
      <c r="A126" s="11" t="s">
        <v>204</v>
      </c>
      <c r="B126" s="12">
        <v>70</v>
      </c>
      <c r="C126" s="13" t="s">
        <v>205</v>
      </c>
    </row>
    <row r="127" spans="1:8" x14ac:dyDescent="0.25">
      <c r="A127" s="34" t="s">
        <v>206</v>
      </c>
      <c r="B127" s="26"/>
    </row>
    <row r="128" spans="1:8" x14ac:dyDescent="0.25">
      <c r="A128" s="11" t="s">
        <v>207</v>
      </c>
      <c r="B128" s="14">
        <f>B124+B125</f>
        <v>20</v>
      </c>
      <c r="C128" s="27" t="s">
        <v>208</v>
      </c>
      <c r="D128" s="26"/>
      <c r="E128" s="26"/>
      <c r="F128" s="26"/>
      <c r="G128" s="26"/>
      <c r="H128" s="26"/>
    </row>
    <row r="129" spans="1:8" x14ac:dyDescent="0.25">
      <c r="A129" s="11" t="s">
        <v>209</v>
      </c>
      <c r="B129" s="14">
        <f>(1000*9.81*B123/1000*B128)/(B126/100*1000)</f>
        <v>0.56057142857142861</v>
      </c>
      <c r="C129" s="27" t="s">
        <v>210</v>
      </c>
      <c r="D129" s="26"/>
      <c r="E129" s="26"/>
      <c r="F129" s="26"/>
      <c r="G129" s="26"/>
      <c r="H129" s="26"/>
    </row>
    <row r="130" spans="1:8" x14ac:dyDescent="0.25">
      <c r="A130" s="11" t="s">
        <v>211</v>
      </c>
      <c r="B130" s="14">
        <f>B129*1.2</f>
        <v>0.67268571428571433</v>
      </c>
      <c r="C130" s="27" t="s">
        <v>212</v>
      </c>
      <c r="D130" s="26"/>
      <c r="E130" s="26"/>
      <c r="F130" s="26"/>
      <c r="G130" s="26"/>
      <c r="H130" s="26"/>
    </row>
    <row r="134" spans="1:8" ht="18.75" customHeight="1" x14ac:dyDescent="0.3">
      <c r="A134" s="32" t="s">
        <v>68</v>
      </c>
      <c r="B134" s="26"/>
      <c r="C134" s="26"/>
      <c r="D134" s="26"/>
      <c r="E134" s="26"/>
      <c r="F134" s="26"/>
      <c r="G134" s="26"/>
      <c r="H134" s="26"/>
    </row>
    <row r="135" spans="1:8" x14ac:dyDescent="0.25">
      <c r="A135" s="26" t="s">
        <v>69</v>
      </c>
      <c r="B135" s="26"/>
      <c r="C135" s="26"/>
      <c r="D135" s="26"/>
      <c r="E135" s="26"/>
      <c r="F135" s="26"/>
      <c r="G135" s="26"/>
      <c r="H135" s="26"/>
    </row>
    <row r="137" spans="1:8" x14ac:dyDescent="0.25">
      <c r="A137" s="25" t="s">
        <v>70</v>
      </c>
      <c r="B137" s="26"/>
      <c r="C137" s="26"/>
      <c r="D137" s="26"/>
      <c r="E137" s="26"/>
      <c r="F137" s="26"/>
      <c r="G137" s="26"/>
      <c r="H137" s="26"/>
    </row>
    <row r="138" spans="1:8" x14ac:dyDescent="0.25">
      <c r="A138" s="10" t="s">
        <v>71</v>
      </c>
      <c r="B138" s="10" t="s">
        <v>72</v>
      </c>
      <c r="C138" s="10" t="s">
        <v>73</v>
      </c>
      <c r="D138" s="10" t="s">
        <v>74</v>
      </c>
      <c r="E138" s="10" t="s">
        <v>213</v>
      </c>
      <c r="F138" s="10" t="s">
        <v>155</v>
      </c>
      <c r="G138" s="10" t="s">
        <v>75</v>
      </c>
      <c r="H138" s="10" t="s">
        <v>214</v>
      </c>
    </row>
    <row r="139" spans="1:8" x14ac:dyDescent="0.25">
      <c r="A139" t="s">
        <v>215</v>
      </c>
      <c r="B139" t="s">
        <v>77</v>
      </c>
      <c r="C139" t="s">
        <v>216</v>
      </c>
      <c r="D139" t="s">
        <v>78</v>
      </c>
      <c r="E139" t="s">
        <v>217</v>
      </c>
      <c r="F139" t="s">
        <v>218</v>
      </c>
      <c r="G139" t="s">
        <v>214</v>
      </c>
      <c r="H139" t="s">
        <v>219</v>
      </c>
    </row>
    <row r="140" spans="1:8" x14ac:dyDescent="0.25">
      <c r="A140" t="s">
        <v>220</v>
      </c>
      <c r="B140" t="s">
        <v>81</v>
      </c>
      <c r="C140" t="s">
        <v>221</v>
      </c>
      <c r="D140" t="s">
        <v>82</v>
      </c>
      <c r="E140" t="s">
        <v>214</v>
      </c>
      <c r="F140" t="s">
        <v>222</v>
      </c>
      <c r="G140" t="s">
        <v>83</v>
      </c>
      <c r="H140" t="s">
        <v>219</v>
      </c>
    </row>
    <row r="141" spans="1:8" x14ac:dyDescent="0.25">
      <c r="A141" t="s">
        <v>84</v>
      </c>
      <c r="B141" t="s">
        <v>85</v>
      </c>
      <c r="C141" t="s">
        <v>223</v>
      </c>
      <c r="D141" t="s">
        <v>224</v>
      </c>
      <c r="E141" t="s">
        <v>225</v>
      </c>
      <c r="F141" t="s">
        <v>226</v>
      </c>
      <c r="G141" t="s">
        <v>227</v>
      </c>
      <c r="H141" t="s">
        <v>228</v>
      </c>
    </row>
    <row r="142" spans="1:8" x14ac:dyDescent="0.25">
      <c r="A142" t="s">
        <v>88</v>
      </c>
      <c r="B142" t="s">
        <v>89</v>
      </c>
      <c r="C142" t="s">
        <v>229</v>
      </c>
      <c r="D142" t="s">
        <v>230</v>
      </c>
      <c r="E142" t="s">
        <v>225</v>
      </c>
      <c r="F142" t="s">
        <v>231</v>
      </c>
      <c r="G142" t="s">
        <v>227</v>
      </c>
      <c r="H142" t="s">
        <v>228</v>
      </c>
    </row>
    <row r="143" spans="1:8" x14ac:dyDescent="0.25">
      <c r="A143" t="s">
        <v>91</v>
      </c>
      <c r="B143" t="s">
        <v>92</v>
      </c>
      <c r="C143" t="s">
        <v>232</v>
      </c>
      <c r="D143" t="s">
        <v>93</v>
      </c>
      <c r="E143" t="s">
        <v>233</v>
      </c>
      <c r="F143" t="s">
        <v>234</v>
      </c>
      <c r="G143" t="s">
        <v>235</v>
      </c>
      <c r="H143" t="s">
        <v>236</v>
      </c>
    </row>
    <row r="144" spans="1:8" x14ac:dyDescent="0.25">
      <c r="A144" t="s">
        <v>95</v>
      </c>
      <c r="B144" t="s">
        <v>96</v>
      </c>
      <c r="C144" t="s">
        <v>237</v>
      </c>
      <c r="D144" t="s">
        <v>93</v>
      </c>
      <c r="E144" t="s">
        <v>238</v>
      </c>
      <c r="F144" t="s">
        <v>239</v>
      </c>
      <c r="G144" t="s">
        <v>97</v>
      </c>
      <c r="H144" t="s">
        <v>240</v>
      </c>
    </row>
    <row r="145" spans="1:8" x14ac:dyDescent="0.25">
      <c r="A145" t="s">
        <v>98</v>
      </c>
      <c r="B145" t="s">
        <v>99</v>
      </c>
      <c r="C145" t="s">
        <v>241</v>
      </c>
      <c r="D145" t="s">
        <v>93</v>
      </c>
      <c r="E145" t="s">
        <v>242</v>
      </c>
      <c r="F145" t="s">
        <v>243</v>
      </c>
      <c r="G145" t="s">
        <v>244</v>
      </c>
      <c r="H145" t="s">
        <v>240</v>
      </c>
    </row>
    <row r="146" spans="1:8" x14ac:dyDescent="0.25">
      <c r="A146" t="s">
        <v>101</v>
      </c>
      <c r="B146" t="s">
        <v>245</v>
      </c>
      <c r="C146" t="s">
        <v>246</v>
      </c>
      <c r="D146" t="s">
        <v>103</v>
      </c>
      <c r="E146" t="s">
        <v>247</v>
      </c>
      <c r="F146" t="s">
        <v>248</v>
      </c>
      <c r="G146" t="s">
        <v>249</v>
      </c>
      <c r="H146" t="s">
        <v>236</v>
      </c>
    </row>
    <row r="147" spans="1:8" x14ac:dyDescent="0.25">
      <c r="A147" t="s">
        <v>105</v>
      </c>
      <c r="B147" t="s">
        <v>250</v>
      </c>
      <c r="C147" t="s">
        <v>251</v>
      </c>
      <c r="D147" t="s">
        <v>107</v>
      </c>
      <c r="E147" t="s">
        <v>238</v>
      </c>
      <c r="F147" t="s">
        <v>252</v>
      </c>
      <c r="G147" t="s">
        <v>253</v>
      </c>
      <c r="H147" t="s">
        <v>254</v>
      </c>
    </row>
    <row r="148" spans="1:8" x14ac:dyDescent="0.25">
      <c r="A148" t="s">
        <v>109</v>
      </c>
      <c r="B148" t="s">
        <v>110</v>
      </c>
      <c r="C148" t="s">
        <v>255</v>
      </c>
      <c r="D148" t="s">
        <v>111</v>
      </c>
      <c r="E148" t="s">
        <v>256</v>
      </c>
      <c r="F148" t="s">
        <v>32</v>
      </c>
      <c r="G148" t="s">
        <v>257</v>
      </c>
      <c r="H148" t="s">
        <v>258</v>
      </c>
    </row>
    <row r="149" spans="1:8" x14ac:dyDescent="0.25">
      <c r="A149" t="s">
        <v>113</v>
      </c>
      <c r="B149" t="s">
        <v>114</v>
      </c>
      <c r="C149" t="s">
        <v>259</v>
      </c>
      <c r="D149" t="s">
        <v>111</v>
      </c>
      <c r="E149" t="s">
        <v>256</v>
      </c>
      <c r="F149" t="s">
        <v>260</v>
      </c>
      <c r="G149" t="s">
        <v>261</v>
      </c>
      <c r="H149" t="s">
        <v>258</v>
      </c>
    </row>
    <row r="150" spans="1:8" x14ac:dyDescent="0.25">
      <c r="A150" t="s">
        <v>116</v>
      </c>
      <c r="B150" t="s">
        <v>262</v>
      </c>
      <c r="C150" t="s">
        <v>263</v>
      </c>
      <c r="D150" t="s">
        <v>118</v>
      </c>
      <c r="E150" t="s">
        <v>264</v>
      </c>
      <c r="F150" t="s">
        <v>265</v>
      </c>
      <c r="G150" t="s">
        <v>266</v>
      </c>
      <c r="H150" t="s">
        <v>267</v>
      </c>
    </row>
    <row r="151" spans="1:8" x14ac:dyDescent="0.25">
      <c r="A151" t="s">
        <v>120</v>
      </c>
      <c r="B151" t="s">
        <v>121</v>
      </c>
      <c r="C151" t="s">
        <v>268</v>
      </c>
      <c r="D151" t="s">
        <v>122</v>
      </c>
      <c r="E151" t="s">
        <v>269</v>
      </c>
      <c r="F151" t="s">
        <v>270</v>
      </c>
      <c r="G151" t="s">
        <v>123</v>
      </c>
      <c r="H151" t="s">
        <v>271</v>
      </c>
    </row>
    <row r="152" spans="1:8" x14ac:dyDescent="0.25">
      <c r="A152" t="s">
        <v>124</v>
      </c>
      <c r="B152" t="s">
        <v>272</v>
      </c>
      <c r="C152" t="s">
        <v>273</v>
      </c>
      <c r="D152" t="s">
        <v>126</v>
      </c>
      <c r="E152" t="s">
        <v>274</v>
      </c>
      <c r="F152" t="s">
        <v>275</v>
      </c>
      <c r="G152" t="s">
        <v>276</v>
      </c>
      <c r="H152" t="s">
        <v>254</v>
      </c>
    </row>
    <row r="153" spans="1:8" x14ac:dyDescent="0.25">
      <c r="A153" t="s">
        <v>128</v>
      </c>
      <c r="B153" t="s">
        <v>277</v>
      </c>
      <c r="C153" t="s">
        <v>278</v>
      </c>
      <c r="D153" t="s">
        <v>126</v>
      </c>
      <c r="E153" t="s">
        <v>238</v>
      </c>
      <c r="F153" t="s">
        <v>275</v>
      </c>
      <c r="G153" t="s">
        <v>279</v>
      </c>
      <c r="H153" t="s">
        <v>254</v>
      </c>
    </row>
    <row r="154" spans="1:8" x14ac:dyDescent="0.25">
      <c r="A154" t="s">
        <v>131</v>
      </c>
      <c r="B154" t="s">
        <v>132</v>
      </c>
      <c r="C154" t="s">
        <v>280</v>
      </c>
      <c r="D154" t="s">
        <v>133</v>
      </c>
      <c r="E154" t="s">
        <v>281</v>
      </c>
      <c r="F154" t="s">
        <v>282</v>
      </c>
      <c r="G154" t="s">
        <v>283</v>
      </c>
      <c r="H154" t="s">
        <v>281</v>
      </c>
    </row>
    <row r="155" spans="1:8" x14ac:dyDescent="0.25">
      <c r="A155" t="s">
        <v>139</v>
      </c>
      <c r="B155" t="s">
        <v>140</v>
      </c>
      <c r="C155" t="s">
        <v>284</v>
      </c>
      <c r="D155" t="s">
        <v>141</v>
      </c>
      <c r="E155" t="s">
        <v>281</v>
      </c>
      <c r="F155" t="s">
        <v>285</v>
      </c>
      <c r="G155" t="s">
        <v>286</v>
      </c>
      <c r="H155" t="s">
        <v>281</v>
      </c>
    </row>
    <row r="156" spans="1:8" x14ac:dyDescent="0.25">
      <c r="A156" t="s">
        <v>287</v>
      </c>
      <c r="B156" t="s">
        <v>288</v>
      </c>
      <c r="C156" t="s">
        <v>289</v>
      </c>
      <c r="D156" t="s">
        <v>141</v>
      </c>
      <c r="E156" t="s">
        <v>290</v>
      </c>
      <c r="F156" t="s">
        <v>291</v>
      </c>
      <c r="G156" t="s">
        <v>292</v>
      </c>
      <c r="H156" t="s">
        <v>290</v>
      </c>
    </row>
    <row r="159" spans="1:8" x14ac:dyDescent="0.25">
      <c r="A159" s="25" t="s">
        <v>293</v>
      </c>
      <c r="B159" s="26"/>
      <c r="C159" s="26"/>
      <c r="D159" s="26"/>
      <c r="E159" s="26"/>
      <c r="F159" s="26"/>
      <c r="G159" s="26"/>
      <c r="H159" s="26"/>
    </row>
    <row r="160" spans="1:8" x14ac:dyDescent="0.25">
      <c r="A160" s="10" t="s">
        <v>148</v>
      </c>
      <c r="B160" s="10" t="s">
        <v>149</v>
      </c>
      <c r="C160" s="10" t="s">
        <v>150</v>
      </c>
      <c r="D160" s="10" t="s">
        <v>151</v>
      </c>
      <c r="E160" s="10" t="s">
        <v>152</v>
      </c>
      <c r="F160" s="10" t="s">
        <v>153</v>
      </c>
      <c r="G160" s="10" t="s">
        <v>154</v>
      </c>
      <c r="H160" s="10" t="s">
        <v>155</v>
      </c>
    </row>
    <row r="161" spans="1:8" x14ac:dyDescent="0.25">
      <c r="A161" t="s">
        <v>156</v>
      </c>
      <c r="B161" t="s">
        <v>294</v>
      </c>
      <c r="C161" t="s">
        <v>295</v>
      </c>
      <c r="D161" t="s">
        <v>296</v>
      </c>
      <c r="E161" t="s">
        <v>297</v>
      </c>
      <c r="F161" t="s">
        <v>284</v>
      </c>
      <c r="G161" t="s">
        <v>298</v>
      </c>
      <c r="H161" t="s">
        <v>157</v>
      </c>
    </row>
    <row r="162" spans="1:8" x14ac:dyDescent="0.25">
      <c r="A162" t="s">
        <v>158</v>
      </c>
      <c r="B162" t="s">
        <v>299</v>
      </c>
      <c r="C162" t="s">
        <v>300</v>
      </c>
      <c r="D162" t="s">
        <v>301</v>
      </c>
      <c r="E162" t="s">
        <v>302</v>
      </c>
      <c r="F162" t="s">
        <v>284</v>
      </c>
      <c r="G162" t="s">
        <v>303</v>
      </c>
      <c r="H162" t="s">
        <v>159</v>
      </c>
    </row>
    <row r="163" spans="1:8" x14ac:dyDescent="0.25">
      <c r="A163" t="s">
        <v>160</v>
      </c>
      <c r="B163" t="s">
        <v>304</v>
      </c>
      <c r="C163" t="s">
        <v>305</v>
      </c>
      <c r="D163" t="s">
        <v>306</v>
      </c>
      <c r="E163" t="s">
        <v>307</v>
      </c>
      <c r="F163" t="s">
        <v>284</v>
      </c>
      <c r="G163" t="s">
        <v>308</v>
      </c>
      <c r="H163" t="s">
        <v>161</v>
      </c>
    </row>
    <row r="164" spans="1:8" x14ac:dyDescent="0.25">
      <c r="A164" t="s">
        <v>162</v>
      </c>
      <c r="B164" t="s">
        <v>309</v>
      </c>
      <c r="C164" t="s">
        <v>310</v>
      </c>
      <c r="D164" t="s">
        <v>311</v>
      </c>
      <c r="E164" t="s">
        <v>284</v>
      </c>
      <c r="F164" t="s">
        <v>284</v>
      </c>
      <c r="G164" t="s">
        <v>312</v>
      </c>
      <c r="H164" t="s">
        <v>163</v>
      </c>
    </row>
    <row r="165" spans="1:8" x14ac:dyDescent="0.25">
      <c r="A165" t="s">
        <v>164</v>
      </c>
      <c r="B165" t="s">
        <v>313</v>
      </c>
      <c r="C165" t="s">
        <v>314</v>
      </c>
      <c r="D165" t="s">
        <v>315</v>
      </c>
      <c r="E165" t="s">
        <v>316</v>
      </c>
      <c r="F165" t="s">
        <v>284</v>
      </c>
      <c r="G165" t="s">
        <v>317</v>
      </c>
      <c r="H165" t="s">
        <v>165</v>
      </c>
    </row>
    <row r="166" spans="1:8" x14ac:dyDescent="0.25">
      <c r="A166" t="s">
        <v>166</v>
      </c>
      <c r="B166" t="s">
        <v>318</v>
      </c>
      <c r="C166" t="s">
        <v>319</v>
      </c>
      <c r="D166" t="s">
        <v>320</v>
      </c>
      <c r="E166" t="s">
        <v>321</v>
      </c>
      <c r="F166" t="s">
        <v>284</v>
      </c>
      <c r="G166" t="s">
        <v>322</v>
      </c>
      <c r="H166" t="s">
        <v>167</v>
      </c>
    </row>
    <row r="167" spans="1:8" x14ac:dyDescent="0.25">
      <c r="A167" t="s">
        <v>168</v>
      </c>
      <c r="B167" t="s">
        <v>323</v>
      </c>
      <c r="C167" t="s">
        <v>324</v>
      </c>
      <c r="D167" t="s">
        <v>325</v>
      </c>
      <c r="E167" t="s">
        <v>326</v>
      </c>
      <c r="F167" t="s">
        <v>284</v>
      </c>
      <c r="G167" t="s">
        <v>327</v>
      </c>
      <c r="H167" t="s">
        <v>169</v>
      </c>
    </row>
    <row r="168" spans="1:8" x14ac:dyDescent="0.25">
      <c r="A168" t="s">
        <v>170</v>
      </c>
      <c r="B168" t="s">
        <v>328</v>
      </c>
      <c r="C168" t="s">
        <v>329</v>
      </c>
      <c r="D168" t="s">
        <v>330</v>
      </c>
      <c r="E168" t="s">
        <v>331</v>
      </c>
      <c r="F168" t="s">
        <v>284</v>
      </c>
      <c r="G168" t="s">
        <v>297</v>
      </c>
      <c r="H168" t="s">
        <v>171</v>
      </c>
    </row>
    <row r="169" spans="1:8" x14ac:dyDescent="0.25">
      <c r="A169" t="s">
        <v>172</v>
      </c>
      <c r="B169" t="s">
        <v>332</v>
      </c>
      <c r="C169" t="s">
        <v>333</v>
      </c>
      <c r="D169" t="s">
        <v>334</v>
      </c>
      <c r="E169" t="s">
        <v>335</v>
      </c>
      <c r="F169" t="s">
        <v>284</v>
      </c>
      <c r="G169" t="s">
        <v>336</v>
      </c>
      <c r="H169" t="s">
        <v>173</v>
      </c>
    </row>
    <row r="170" spans="1:8" x14ac:dyDescent="0.25">
      <c r="A170" t="s">
        <v>174</v>
      </c>
      <c r="B170" t="s">
        <v>337</v>
      </c>
      <c r="C170" t="s">
        <v>338</v>
      </c>
      <c r="D170" t="s">
        <v>339</v>
      </c>
      <c r="E170" t="s">
        <v>309</v>
      </c>
      <c r="F170" t="s">
        <v>284</v>
      </c>
      <c r="G170" t="s">
        <v>340</v>
      </c>
      <c r="H170" t="s">
        <v>175</v>
      </c>
    </row>
    <row r="171" spans="1:8" x14ac:dyDescent="0.25">
      <c r="A171" t="s">
        <v>176</v>
      </c>
      <c r="B171" t="s">
        <v>251</v>
      </c>
      <c r="C171" t="s">
        <v>341</v>
      </c>
      <c r="D171" t="s">
        <v>342</v>
      </c>
      <c r="E171" t="s">
        <v>343</v>
      </c>
      <c r="F171" t="s">
        <v>284</v>
      </c>
      <c r="G171" t="s">
        <v>344</v>
      </c>
      <c r="H171" t="s">
        <v>177</v>
      </c>
    </row>
    <row r="174" spans="1:8" x14ac:dyDescent="0.25">
      <c r="A174" s="25" t="s">
        <v>345</v>
      </c>
      <c r="B174" s="26"/>
      <c r="C174" s="26"/>
      <c r="D174" s="26"/>
      <c r="E174" s="26"/>
      <c r="F174" s="26"/>
      <c r="G174" s="26"/>
      <c r="H174" s="26"/>
    </row>
    <row r="175" spans="1:8" x14ac:dyDescent="0.25">
      <c r="A175" s="10" t="s">
        <v>346</v>
      </c>
      <c r="B175" s="10" t="s">
        <v>347</v>
      </c>
      <c r="C175" s="10" t="s">
        <v>348</v>
      </c>
      <c r="D175" s="10" t="s">
        <v>155</v>
      </c>
      <c r="E175" s="10" t="s">
        <v>75</v>
      </c>
      <c r="F175" s="10" t="s">
        <v>214</v>
      </c>
      <c r="G175" s="10" t="s">
        <v>349</v>
      </c>
      <c r="H175" s="10" t="s">
        <v>350</v>
      </c>
    </row>
    <row r="176" spans="1:8" x14ac:dyDescent="0.25">
      <c r="A176" t="s">
        <v>351</v>
      </c>
      <c r="B176" t="s">
        <v>352</v>
      </c>
      <c r="C176" t="s">
        <v>353</v>
      </c>
      <c r="D176" t="s">
        <v>354</v>
      </c>
      <c r="E176" t="s">
        <v>256</v>
      </c>
      <c r="F176" t="s">
        <v>355</v>
      </c>
      <c r="G176" t="s">
        <v>356</v>
      </c>
      <c r="H176" t="s">
        <v>357</v>
      </c>
    </row>
    <row r="177" spans="1:8" x14ac:dyDescent="0.25">
      <c r="A177" t="s">
        <v>358</v>
      </c>
      <c r="B177" t="s">
        <v>359</v>
      </c>
      <c r="C177" t="s">
        <v>360</v>
      </c>
      <c r="D177" t="s">
        <v>285</v>
      </c>
      <c r="E177" t="s">
        <v>361</v>
      </c>
      <c r="F177" t="s">
        <v>362</v>
      </c>
      <c r="G177" t="s">
        <v>363</v>
      </c>
      <c r="H177" t="s">
        <v>141</v>
      </c>
    </row>
    <row r="178" spans="1:8" x14ac:dyDescent="0.25">
      <c r="A178" t="s">
        <v>364</v>
      </c>
      <c r="B178" t="s">
        <v>365</v>
      </c>
      <c r="C178" t="s">
        <v>366</v>
      </c>
      <c r="D178" t="s">
        <v>367</v>
      </c>
      <c r="E178" t="s">
        <v>368</v>
      </c>
      <c r="F178" t="s">
        <v>281</v>
      </c>
      <c r="G178" t="s">
        <v>369</v>
      </c>
      <c r="H178" t="s">
        <v>370</v>
      </c>
    </row>
    <row r="179" spans="1:8" x14ac:dyDescent="0.25">
      <c r="A179" t="s">
        <v>371</v>
      </c>
      <c r="B179" t="s">
        <v>372</v>
      </c>
      <c r="C179" t="s">
        <v>373</v>
      </c>
      <c r="D179" t="s">
        <v>374</v>
      </c>
      <c r="E179" t="s">
        <v>375</v>
      </c>
      <c r="F179" t="s">
        <v>376</v>
      </c>
      <c r="G179" t="s">
        <v>377</v>
      </c>
      <c r="H179" t="s">
        <v>378</v>
      </c>
    </row>
    <row r="180" spans="1:8" x14ac:dyDescent="0.25">
      <c r="A180" t="s">
        <v>379</v>
      </c>
      <c r="B180" t="s">
        <v>380</v>
      </c>
      <c r="C180" t="s">
        <v>381</v>
      </c>
      <c r="D180" t="s">
        <v>382</v>
      </c>
      <c r="E180" t="s">
        <v>383</v>
      </c>
      <c r="F180" t="s">
        <v>225</v>
      </c>
      <c r="G180" t="s">
        <v>384</v>
      </c>
      <c r="H180" t="s">
        <v>385</v>
      </c>
    </row>
    <row r="181" spans="1:8" x14ac:dyDescent="0.25">
      <c r="A181" t="s">
        <v>386</v>
      </c>
      <c r="B181" t="s">
        <v>387</v>
      </c>
      <c r="C181" t="s">
        <v>388</v>
      </c>
      <c r="D181" t="s">
        <v>389</v>
      </c>
      <c r="E181" t="s">
        <v>390</v>
      </c>
      <c r="F181" t="s">
        <v>391</v>
      </c>
      <c r="G181" t="s">
        <v>392</v>
      </c>
      <c r="H181" t="s">
        <v>370</v>
      </c>
    </row>
    <row r="182" spans="1:8" x14ac:dyDescent="0.25">
      <c r="A182" t="s">
        <v>393</v>
      </c>
      <c r="B182" t="s">
        <v>394</v>
      </c>
      <c r="C182" t="s">
        <v>395</v>
      </c>
      <c r="D182" t="s">
        <v>396</v>
      </c>
      <c r="E182" t="s">
        <v>397</v>
      </c>
      <c r="F182" t="s">
        <v>398</v>
      </c>
      <c r="G182" t="s">
        <v>399</v>
      </c>
      <c r="H182" t="s">
        <v>378</v>
      </c>
    </row>
    <row r="183" spans="1:8" x14ac:dyDescent="0.25">
      <c r="A183" t="s">
        <v>400</v>
      </c>
      <c r="B183" t="s">
        <v>401</v>
      </c>
      <c r="C183" t="s">
        <v>402</v>
      </c>
      <c r="D183" t="s">
        <v>403</v>
      </c>
      <c r="E183" t="s">
        <v>404</v>
      </c>
      <c r="F183" t="s">
        <v>355</v>
      </c>
      <c r="G183" t="s">
        <v>405</v>
      </c>
      <c r="H183" t="s">
        <v>406</v>
      </c>
    </row>
    <row r="184" spans="1:8" x14ac:dyDescent="0.25">
      <c r="A184" t="s">
        <v>407</v>
      </c>
      <c r="B184" t="s">
        <v>408</v>
      </c>
      <c r="C184" t="s">
        <v>409</v>
      </c>
      <c r="D184" t="s">
        <v>410</v>
      </c>
      <c r="E184" t="s">
        <v>411</v>
      </c>
      <c r="F184" t="s">
        <v>281</v>
      </c>
      <c r="G184" t="s">
        <v>412</v>
      </c>
      <c r="H184" t="s">
        <v>141</v>
      </c>
    </row>
    <row r="185" spans="1:8" x14ac:dyDescent="0.25">
      <c r="A185" t="s">
        <v>413</v>
      </c>
      <c r="B185" t="s">
        <v>414</v>
      </c>
      <c r="C185" t="s">
        <v>415</v>
      </c>
      <c r="D185" t="s">
        <v>282</v>
      </c>
      <c r="E185" t="s">
        <v>416</v>
      </c>
      <c r="F185" t="s">
        <v>281</v>
      </c>
      <c r="G185" t="s">
        <v>417</v>
      </c>
      <c r="H185" t="s">
        <v>418</v>
      </c>
    </row>
    <row r="186" spans="1:8" x14ac:dyDescent="0.25">
      <c r="A186" t="s">
        <v>419</v>
      </c>
      <c r="B186" t="s">
        <v>420</v>
      </c>
      <c r="C186" t="s">
        <v>421</v>
      </c>
      <c r="D186" t="s">
        <v>422</v>
      </c>
      <c r="E186" t="s">
        <v>423</v>
      </c>
      <c r="F186" t="s">
        <v>290</v>
      </c>
      <c r="G186" t="s">
        <v>424</v>
      </c>
      <c r="H186" t="s">
        <v>378</v>
      </c>
    </row>
    <row r="189" spans="1:8" x14ac:dyDescent="0.25">
      <c r="A189" s="25" t="s">
        <v>425</v>
      </c>
      <c r="B189" s="26"/>
      <c r="C189" s="26"/>
      <c r="D189" s="26"/>
      <c r="E189" s="26"/>
      <c r="F189" s="26"/>
      <c r="G189" s="26"/>
      <c r="H189" s="26"/>
    </row>
    <row r="190" spans="1:8" x14ac:dyDescent="0.25">
      <c r="A190" s="10" t="s">
        <v>3</v>
      </c>
      <c r="B190" s="10" t="s">
        <v>426</v>
      </c>
      <c r="C190" s="10" t="s">
        <v>427</v>
      </c>
      <c r="D190" s="10" t="s">
        <v>428</v>
      </c>
      <c r="E190" s="10" t="s">
        <v>429</v>
      </c>
      <c r="F190" s="10" t="s">
        <v>430</v>
      </c>
      <c r="G190" s="10" t="s">
        <v>431</v>
      </c>
      <c r="H190" s="10" t="s">
        <v>75</v>
      </c>
    </row>
    <row r="191" spans="1:8" x14ac:dyDescent="0.25">
      <c r="A191" t="s">
        <v>432</v>
      </c>
      <c r="B191" t="s">
        <v>317</v>
      </c>
      <c r="C191" t="s">
        <v>433</v>
      </c>
      <c r="D191" t="s">
        <v>434</v>
      </c>
      <c r="E191" t="s">
        <v>294</v>
      </c>
      <c r="F191" t="s">
        <v>332</v>
      </c>
      <c r="G191" t="s">
        <v>435</v>
      </c>
      <c r="H191" t="s">
        <v>436</v>
      </c>
    </row>
    <row r="192" spans="1:8" x14ac:dyDescent="0.25">
      <c r="A192" t="s">
        <v>437</v>
      </c>
      <c r="B192" t="s">
        <v>438</v>
      </c>
      <c r="C192" t="s">
        <v>438</v>
      </c>
      <c r="D192" t="s">
        <v>438</v>
      </c>
      <c r="E192" t="s">
        <v>294</v>
      </c>
      <c r="F192" t="s">
        <v>309</v>
      </c>
      <c r="G192" t="s">
        <v>297</v>
      </c>
      <c r="H192" t="s">
        <v>439</v>
      </c>
    </row>
    <row r="193" spans="1:8" x14ac:dyDescent="0.25">
      <c r="A193" t="s">
        <v>13</v>
      </c>
      <c r="B193" t="s">
        <v>307</v>
      </c>
      <c r="C193" t="s">
        <v>307</v>
      </c>
      <c r="D193" t="s">
        <v>317</v>
      </c>
      <c r="E193" t="s">
        <v>294</v>
      </c>
      <c r="F193" t="s">
        <v>313</v>
      </c>
      <c r="G193" t="s">
        <v>440</v>
      </c>
      <c r="H193" t="s">
        <v>441</v>
      </c>
    </row>
    <row r="194" spans="1:8" x14ac:dyDescent="0.25">
      <c r="A194" t="s">
        <v>14</v>
      </c>
      <c r="B194" t="s">
        <v>438</v>
      </c>
      <c r="C194" t="s">
        <v>438</v>
      </c>
      <c r="D194" t="s">
        <v>317</v>
      </c>
      <c r="E194" t="s">
        <v>294</v>
      </c>
      <c r="F194" t="s">
        <v>313</v>
      </c>
      <c r="G194" t="s">
        <v>289</v>
      </c>
      <c r="H194" t="s">
        <v>442</v>
      </c>
    </row>
    <row r="195" spans="1:8" x14ac:dyDescent="0.25">
      <c r="A195" t="s">
        <v>15</v>
      </c>
      <c r="B195" t="s">
        <v>317</v>
      </c>
      <c r="C195" t="s">
        <v>317</v>
      </c>
      <c r="D195" t="s">
        <v>312</v>
      </c>
      <c r="E195" t="s">
        <v>299</v>
      </c>
      <c r="F195" t="s">
        <v>318</v>
      </c>
      <c r="G195" t="s">
        <v>327</v>
      </c>
      <c r="H195" t="s">
        <v>443</v>
      </c>
    </row>
    <row r="196" spans="1:8" x14ac:dyDescent="0.25">
      <c r="A196" t="s">
        <v>444</v>
      </c>
      <c r="B196" t="s">
        <v>317</v>
      </c>
      <c r="C196" t="s">
        <v>433</v>
      </c>
      <c r="D196" t="s">
        <v>317</v>
      </c>
      <c r="E196" t="s">
        <v>294</v>
      </c>
      <c r="F196" t="s">
        <v>318</v>
      </c>
      <c r="G196" t="s">
        <v>336</v>
      </c>
      <c r="H196" t="s">
        <v>445</v>
      </c>
    </row>
    <row r="197" spans="1:8" x14ac:dyDescent="0.25">
      <c r="A197" t="s">
        <v>446</v>
      </c>
      <c r="B197" t="s">
        <v>297</v>
      </c>
      <c r="C197" t="s">
        <v>433</v>
      </c>
      <c r="D197" t="s">
        <v>438</v>
      </c>
      <c r="E197" t="s">
        <v>294</v>
      </c>
      <c r="F197" t="s">
        <v>309</v>
      </c>
      <c r="G197" t="s">
        <v>340</v>
      </c>
      <c r="H197" t="s">
        <v>445</v>
      </c>
    </row>
    <row r="198" spans="1:8" x14ac:dyDescent="0.25">
      <c r="A198" t="s">
        <v>447</v>
      </c>
      <c r="B198" t="s">
        <v>438</v>
      </c>
      <c r="C198" t="s">
        <v>438</v>
      </c>
      <c r="D198" t="s">
        <v>438</v>
      </c>
      <c r="E198" t="s">
        <v>294</v>
      </c>
      <c r="F198" t="s">
        <v>309</v>
      </c>
      <c r="G198" t="s">
        <v>448</v>
      </c>
      <c r="H198" t="s">
        <v>449</v>
      </c>
    </row>
    <row r="199" spans="1:8" x14ac:dyDescent="0.25">
      <c r="A199" t="s">
        <v>450</v>
      </c>
      <c r="B199" t="s">
        <v>307</v>
      </c>
      <c r="C199" t="s">
        <v>307</v>
      </c>
      <c r="D199" t="s">
        <v>317</v>
      </c>
      <c r="E199" t="s">
        <v>294</v>
      </c>
      <c r="F199" t="s">
        <v>313</v>
      </c>
      <c r="G199" t="s">
        <v>297</v>
      </c>
      <c r="H199" t="s">
        <v>451</v>
      </c>
    </row>
    <row r="200" spans="1:8" x14ac:dyDescent="0.25">
      <c r="A200" t="s">
        <v>452</v>
      </c>
      <c r="B200" t="s">
        <v>317</v>
      </c>
      <c r="C200" t="s">
        <v>317</v>
      </c>
      <c r="D200" t="s">
        <v>312</v>
      </c>
      <c r="E200" t="s">
        <v>299</v>
      </c>
      <c r="F200" t="s">
        <v>313</v>
      </c>
      <c r="G200" t="s">
        <v>289</v>
      </c>
      <c r="H200" t="s">
        <v>451</v>
      </c>
    </row>
    <row r="201" spans="1:8" x14ac:dyDescent="0.25">
      <c r="A201" t="s">
        <v>453</v>
      </c>
      <c r="B201" t="s">
        <v>317</v>
      </c>
      <c r="C201" t="s">
        <v>317</v>
      </c>
      <c r="D201" t="s">
        <v>312</v>
      </c>
      <c r="E201" t="s">
        <v>299</v>
      </c>
      <c r="F201" t="s">
        <v>318</v>
      </c>
      <c r="G201" t="s">
        <v>297</v>
      </c>
      <c r="H201" t="s">
        <v>454</v>
      </c>
    </row>
    <row r="202" spans="1:8" x14ac:dyDescent="0.25">
      <c r="A202" t="s">
        <v>18</v>
      </c>
      <c r="B202" t="s">
        <v>455</v>
      </c>
      <c r="C202" t="s">
        <v>433</v>
      </c>
      <c r="D202" t="s">
        <v>297</v>
      </c>
      <c r="E202" t="s">
        <v>456</v>
      </c>
      <c r="F202" t="s">
        <v>304</v>
      </c>
      <c r="G202" t="s">
        <v>457</v>
      </c>
      <c r="H202" t="s">
        <v>458</v>
      </c>
    </row>
    <row r="203" spans="1:8" x14ac:dyDescent="0.25">
      <c r="A203" t="s">
        <v>459</v>
      </c>
      <c r="B203" t="s">
        <v>312</v>
      </c>
      <c r="C203" t="s">
        <v>433</v>
      </c>
      <c r="D203" t="s">
        <v>433</v>
      </c>
      <c r="E203" t="s">
        <v>299</v>
      </c>
      <c r="F203" t="s">
        <v>433</v>
      </c>
      <c r="G203" t="s">
        <v>336</v>
      </c>
      <c r="H203" t="s">
        <v>460</v>
      </c>
    </row>
    <row r="204" spans="1:8" x14ac:dyDescent="0.25">
      <c r="A204" t="s">
        <v>461</v>
      </c>
      <c r="B204" t="s">
        <v>438</v>
      </c>
      <c r="C204" t="s">
        <v>438</v>
      </c>
      <c r="D204" t="s">
        <v>438</v>
      </c>
      <c r="E204" t="s">
        <v>294</v>
      </c>
      <c r="F204" t="s">
        <v>309</v>
      </c>
      <c r="G204" t="s">
        <v>448</v>
      </c>
      <c r="H204" t="s">
        <v>462</v>
      </c>
    </row>
    <row r="205" spans="1:8" x14ac:dyDescent="0.25">
      <c r="A205" t="s">
        <v>463</v>
      </c>
      <c r="B205" t="s">
        <v>317</v>
      </c>
      <c r="C205" t="s">
        <v>317</v>
      </c>
      <c r="D205" t="s">
        <v>317</v>
      </c>
      <c r="E205" t="s">
        <v>299</v>
      </c>
      <c r="F205" t="s">
        <v>318</v>
      </c>
      <c r="G205" t="s">
        <v>289</v>
      </c>
      <c r="H205" t="s">
        <v>464</v>
      </c>
    </row>
    <row r="208" spans="1:8" x14ac:dyDescent="0.25">
      <c r="A208" s="25" t="s">
        <v>465</v>
      </c>
      <c r="B208" s="26"/>
      <c r="C208" s="26"/>
      <c r="D208" s="26"/>
      <c r="E208" s="26"/>
      <c r="F208" s="26"/>
      <c r="G208" s="26"/>
      <c r="H208" s="26"/>
    </row>
    <row r="209" spans="1:8" x14ac:dyDescent="0.25">
      <c r="A209" s="10" t="s">
        <v>466</v>
      </c>
      <c r="B209" s="10" t="s">
        <v>467</v>
      </c>
      <c r="C209" s="10" t="s">
        <v>468</v>
      </c>
      <c r="D209" s="10" t="s">
        <v>187</v>
      </c>
      <c r="E209" s="10" t="s">
        <v>469</v>
      </c>
      <c r="F209" s="10" t="s">
        <v>470</v>
      </c>
      <c r="G209" s="10" t="s">
        <v>471</v>
      </c>
      <c r="H209" s="10" t="s">
        <v>472</v>
      </c>
    </row>
    <row r="210" spans="1:8" x14ac:dyDescent="0.25">
      <c r="A210" t="s">
        <v>473</v>
      </c>
      <c r="B210" t="s">
        <v>455</v>
      </c>
      <c r="C210" t="s">
        <v>294</v>
      </c>
      <c r="D210" t="s">
        <v>294</v>
      </c>
      <c r="E210" t="s">
        <v>474</v>
      </c>
      <c r="F210" t="s">
        <v>475</v>
      </c>
      <c r="G210" t="s">
        <v>435</v>
      </c>
      <c r="H210" t="s">
        <v>476</v>
      </c>
    </row>
    <row r="211" spans="1:8" x14ac:dyDescent="0.25">
      <c r="A211" t="s">
        <v>477</v>
      </c>
      <c r="B211" t="s">
        <v>297</v>
      </c>
      <c r="C211" t="s">
        <v>478</v>
      </c>
      <c r="D211" t="s">
        <v>299</v>
      </c>
      <c r="E211" t="s">
        <v>479</v>
      </c>
      <c r="F211" t="s">
        <v>480</v>
      </c>
      <c r="G211" t="s">
        <v>440</v>
      </c>
      <c r="H211" t="s">
        <v>481</v>
      </c>
    </row>
    <row r="212" spans="1:8" x14ac:dyDescent="0.25">
      <c r="A212" t="s">
        <v>482</v>
      </c>
      <c r="B212" t="s">
        <v>440</v>
      </c>
      <c r="C212" t="s">
        <v>278</v>
      </c>
      <c r="D212" t="s">
        <v>304</v>
      </c>
      <c r="E212" t="s">
        <v>483</v>
      </c>
      <c r="F212" t="s">
        <v>484</v>
      </c>
      <c r="G212" t="s">
        <v>327</v>
      </c>
      <c r="H212" t="s">
        <v>485</v>
      </c>
    </row>
    <row r="213" spans="1:8" x14ac:dyDescent="0.25">
      <c r="A213" t="s">
        <v>486</v>
      </c>
      <c r="B213" t="s">
        <v>487</v>
      </c>
      <c r="C213" t="s">
        <v>488</v>
      </c>
      <c r="D213" t="s">
        <v>309</v>
      </c>
      <c r="E213" t="s">
        <v>483</v>
      </c>
      <c r="F213" t="s">
        <v>489</v>
      </c>
      <c r="G213" t="s">
        <v>289</v>
      </c>
      <c r="H213" t="s">
        <v>490</v>
      </c>
    </row>
    <row r="214" spans="1:8" x14ac:dyDescent="0.25">
      <c r="A214" t="s">
        <v>491</v>
      </c>
      <c r="B214" t="s">
        <v>483</v>
      </c>
      <c r="C214" t="s">
        <v>492</v>
      </c>
      <c r="D214" t="s">
        <v>313</v>
      </c>
      <c r="E214" t="s">
        <v>483</v>
      </c>
      <c r="F214" t="s">
        <v>493</v>
      </c>
      <c r="G214" t="s">
        <v>297</v>
      </c>
      <c r="H214" t="s">
        <v>494</v>
      </c>
    </row>
    <row r="215" spans="1:8" x14ac:dyDescent="0.25">
      <c r="A215" t="s">
        <v>495</v>
      </c>
      <c r="B215" t="s">
        <v>316</v>
      </c>
      <c r="C215" t="s">
        <v>496</v>
      </c>
      <c r="D215" t="s">
        <v>318</v>
      </c>
      <c r="E215" t="s">
        <v>483</v>
      </c>
      <c r="F215" t="s">
        <v>497</v>
      </c>
      <c r="G215" t="s">
        <v>448</v>
      </c>
      <c r="H215" t="s">
        <v>498</v>
      </c>
    </row>
    <row r="216" spans="1:8" x14ac:dyDescent="0.25">
      <c r="A216" t="s">
        <v>499</v>
      </c>
      <c r="B216" t="s">
        <v>321</v>
      </c>
      <c r="C216" t="s">
        <v>500</v>
      </c>
      <c r="D216" t="s">
        <v>323</v>
      </c>
      <c r="E216" t="s">
        <v>479</v>
      </c>
      <c r="F216" t="s">
        <v>501</v>
      </c>
      <c r="G216" t="s">
        <v>502</v>
      </c>
      <c r="H216" t="s">
        <v>503</v>
      </c>
    </row>
    <row r="217" spans="1:8" x14ac:dyDescent="0.25">
      <c r="A217" t="s">
        <v>504</v>
      </c>
      <c r="B217" t="s">
        <v>505</v>
      </c>
      <c r="C217" t="s">
        <v>506</v>
      </c>
      <c r="D217" t="s">
        <v>328</v>
      </c>
      <c r="E217" t="s">
        <v>479</v>
      </c>
      <c r="F217" t="s">
        <v>507</v>
      </c>
      <c r="G217" t="s">
        <v>336</v>
      </c>
      <c r="H217" t="s">
        <v>508</v>
      </c>
    </row>
    <row r="218" spans="1:8" x14ac:dyDescent="0.25">
      <c r="A218" t="s">
        <v>509</v>
      </c>
      <c r="B218" t="s">
        <v>331</v>
      </c>
      <c r="C218" t="s">
        <v>510</v>
      </c>
      <c r="D218" t="s">
        <v>332</v>
      </c>
      <c r="E218" t="s">
        <v>474</v>
      </c>
      <c r="F218" t="s">
        <v>511</v>
      </c>
      <c r="G218" t="s">
        <v>455</v>
      </c>
      <c r="H218" t="s">
        <v>512</v>
      </c>
    </row>
    <row r="219" spans="1:8" x14ac:dyDescent="0.25">
      <c r="A219" t="s">
        <v>513</v>
      </c>
      <c r="B219" t="s">
        <v>299</v>
      </c>
      <c r="C219" t="s">
        <v>514</v>
      </c>
      <c r="D219" t="s">
        <v>337</v>
      </c>
      <c r="E219" t="s">
        <v>515</v>
      </c>
      <c r="F219" t="s">
        <v>516</v>
      </c>
      <c r="G219" t="s">
        <v>340</v>
      </c>
      <c r="H219" t="s">
        <v>517</v>
      </c>
    </row>
    <row r="222" spans="1:8" x14ac:dyDescent="0.25">
      <c r="A222" s="25" t="s">
        <v>518</v>
      </c>
      <c r="B222" s="26"/>
      <c r="C222" s="26"/>
      <c r="D222" s="26"/>
      <c r="E222" s="26"/>
      <c r="F222" s="26"/>
      <c r="G222" s="26"/>
      <c r="H222" s="26"/>
    </row>
    <row r="223" spans="1:8" x14ac:dyDescent="0.25">
      <c r="A223" s="10" t="s">
        <v>187</v>
      </c>
      <c r="B223" s="10" t="s">
        <v>519</v>
      </c>
      <c r="C223" s="10" t="s">
        <v>520</v>
      </c>
      <c r="D223" s="10" t="s">
        <v>521</v>
      </c>
      <c r="E223" s="10" t="s">
        <v>522</v>
      </c>
      <c r="F223" s="10" t="s">
        <v>523</v>
      </c>
      <c r="G223" s="10" t="s">
        <v>469</v>
      </c>
      <c r="H223" s="10" t="s">
        <v>524</v>
      </c>
    </row>
    <row r="224" spans="1:8" x14ac:dyDescent="0.25">
      <c r="A224" t="s">
        <v>309</v>
      </c>
      <c r="B224" t="s">
        <v>438</v>
      </c>
      <c r="C224" t="s">
        <v>317</v>
      </c>
      <c r="D224" t="s">
        <v>438</v>
      </c>
      <c r="E224" t="s">
        <v>317</v>
      </c>
      <c r="F224" t="s">
        <v>297</v>
      </c>
      <c r="G224" t="s">
        <v>289</v>
      </c>
      <c r="H224" t="s">
        <v>525</v>
      </c>
    </row>
    <row r="225" spans="1:8" x14ac:dyDescent="0.25">
      <c r="A225" t="s">
        <v>313</v>
      </c>
      <c r="B225" t="s">
        <v>312</v>
      </c>
      <c r="C225" t="s">
        <v>434</v>
      </c>
      <c r="D225" t="s">
        <v>317</v>
      </c>
      <c r="E225" t="s">
        <v>317</v>
      </c>
      <c r="F225" t="s">
        <v>435</v>
      </c>
      <c r="G225" t="s">
        <v>440</v>
      </c>
      <c r="H225" t="s">
        <v>525</v>
      </c>
    </row>
    <row r="226" spans="1:8" x14ac:dyDescent="0.25">
      <c r="A226" t="s">
        <v>318</v>
      </c>
      <c r="B226" t="s">
        <v>526</v>
      </c>
      <c r="C226" t="s">
        <v>303</v>
      </c>
      <c r="D226" t="s">
        <v>434</v>
      </c>
      <c r="E226" t="s">
        <v>307</v>
      </c>
      <c r="F226" t="s">
        <v>474</v>
      </c>
      <c r="G226" t="s">
        <v>435</v>
      </c>
      <c r="H226" t="s">
        <v>525</v>
      </c>
    </row>
    <row r="227" spans="1:8" x14ac:dyDescent="0.25">
      <c r="A227" t="s">
        <v>527</v>
      </c>
      <c r="B227" t="s">
        <v>299</v>
      </c>
      <c r="C227" t="s">
        <v>273</v>
      </c>
      <c r="D227" t="s">
        <v>298</v>
      </c>
      <c r="E227" t="s">
        <v>438</v>
      </c>
      <c r="F227" t="s">
        <v>528</v>
      </c>
      <c r="G227" t="s">
        <v>302</v>
      </c>
      <c r="H227" t="s">
        <v>529</v>
      </c>
    </row>
    <row r="228" spans="1:8" x14ac:dyDescent="0.25">
      <c r="A228" t="s">
        <v>332</v>
      </c>
      <c r="B228" t="s">
        <v>530</v>
      </c>
      <c r="C228" t="s">
        <v>531</v>
      </c>
      <c r="D228" t="s">
        <v>311</v>
      </c>
      <c r="E228" t="s">
        <v>438</v>
      </c>
      <c r="F228" t="s">
        <v>532</v>
      </c>
      <c r="G228" t="s">
        <v>435</v>
      </c>
      <c r="H228" t="s">
        <v>533</v>
      </c>
    </row>
    <row r="229" spans="1:8" x14ac:dyDescent="0.25">
      <c r="A229" t="s">
        <v>337</v>
      </c>
      <c r="B229" t="s">
        <v>534</v>
      </c>
      <c r="C229" t="s">
        <v>535</v>
      </c>
      <c r="D229" t="s">
        <v>527</v>
      </c>
      <c r="E229" t="s">
        <v>297</v>
      </c>
      <c r="F229" t="s">
        <v>536</v>
      </c>
      <c r="G229" t="s">
        <v>302</v>
      </c>
      <c r="H229" t="s">
        <v>533</v>
      </c>
    </row>
    <row r="230" spans="1:8" x14ac:dyDescent="0.25">
      <c r="A230" t="s">
        <v>251</v>
      </c>
      <c r="B230" t="s">
        <v>537</v>
      </c>
      <c r="C230" t="s">
        <v>538</v>
      </c>
      <c r="D230" t="s">
        <v>539</v>
      </c>
      <c r="E230" t="s">
        <v>297</v>
      </c>
      <c r="F230" t="s">
        <v>540</v>
      </c>
      <c r="G230" t="s">
        <v>435</v>
      </c>
      <c r="H230" t="s">
        <v>533</v>
      </c>
    </row>
    <row r="231" spans="1:8" x14ac:dyDescent="0.25">
      <c r="A231" t="s">
        <v>223</v>
      </c>
      <c r="B231" t="s">
        <v>541</v>
      </c>
      <c r="C231" t="s">
        <v>542</v>
      </c>
      <c r="D231" t="s">
        <v>543</v>
      </c>
      <c r="E231" t="s">
        <v>297</v>
      </c>
      <c r="F231" t="s">
        <v>544</v>
      </c>
      <c r="G231" t="s">
        <v>322</v>
      </c>
      <c r="H231" t="s">
        <v>545</v>
      </c>
    </row>
  </sheetData>
  <mergeCells count="32">
    <mergeCell ref="A62:H62"/>
    <mergeCell ref="F112:H112"/>
    <mergeCell ref="A109:H109"/>
    <mergeCell ref="A134:H134"/>
    <mergeCell ref="F118:H118"/>
    <mergeCell ref="A121:H121"/>
    <mergeCell ref="A63:H63"/>
    <mergeCell ref="C128:H128"/>
    <mergeCell ref="A127:B127"/>
    <mergeCell ref="D105:H105"/>
    <mergeCell ref="F115:H115"/>
    <mergeCell ref="A65:H65"/>
    <mergeCell ref="A174:H174"/>
    <mergeCell ref="A137:H137"/>
    <mergeCell ref="F111:H111"/>
    <mergeCell ref="D107:H107"/>
    <mergeCell ref="A89:H89"/>
    <mergeCell ref="F117:H117"/>
    <mergeCell ref="A104:H104"/>
    <mergeCell ref="D106:H106"/>
    <mergeCell ref="F116:H116"/>
    <mergeCell ref="A122:B122"/>
    <mergeCell ref="A159:H159"/>
    <mergeCell ref="A135:H135"/>
    <mergeCell ref="F113:H113"/>
    <mergeCell ref="F114:H114"/>
    <mergeCell ref="F110:H110"/>
    <mergeCell ref="A222:H222"/>
    <mergeCell ref="C129:H129"/>
    <mergeCell ref="C130:H130"/>
    <mergeCell ref="A208:H208"/>
    <mergeCell ref="A189:H1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8"/>
  <sheetViews>
    <sheetView topLeftCell="A115" workbookViewId="0">
      <selection activeCell="B229" sqref="B229:B230"/>
    </sheetView>
  </sheetViews>
  <sheetFormatPr defaultRowHeight="15" x14ac:dyDescent="0.25"/>
  <cols>
    <col min="1" max="1" width="16" customWidth="1"/>
    <col min="2" max="2" width="23.42578125" customWidth="1"/>
    <col min="3" max="9" width="16" customWidth="1"/>
  </cols>
  <sheetData>
    <row r="1" spans="1:9" ht="18.75" customHeight="1" x14ac:dyDescent="0.3">
      <c r="A1" s="32" t="s">
        <v>546</v>
      </c>
      <c r="B1" s="26"/>
      <c r="C1" s="26"/>
      <c r="D1" s="26"/>
      <c r="E1" s="26"/>
      <c r="F1" s="26"/>
      <c r="G1" s="26"/>
      <c r="H1" s="26"/>
      <c r="I1" s="26"/>
    </row>
    <row r="2" spans="1:9" x14ac:dyDescent="0.25">
      <c r="A2" s="26" t="s">
        <v>547</v>
      </c>
      <c r="B2" s="26"/>
      <c r="C2" s="26"/>
      <c r="D2" s="26"/>
      <c r="E2" s="26"/>
      <c r="F2" s="26"/>
      <c r="G2" s="26"/>
      <c r="H2" s="26"/>
      <c r="I2" s="26"/>
    </row>
    <row r="4" spans="1:9" x14ac:dyDescent="0.25">
      <c r="A4" s="25" t="s">
        <v>548</v>
      </c>
      <c r="B4" s="26"/>
      <c r="C4" s="26"/>
      <c r="D4" s="26"/>
      <c r="E4" s="26"/>
      <c r="F4" s="26"/>
      <c r="G4" s="26"/>
      <c r="H4" s="26"/>
      <c r="I4" s="26"/>
    </row>
    <row r="5" spans="1:9" ht="51.75" x14ac:dyDescent="0.25">
      <c r="A5" s="10" t="s">
        <v>549</v>
      </c>
      <c r="B5" s="10" t="s">
        <v>550</v>
      </c>
      <c r="C5" s="10" t="s">
        <v>551</v>
      </c>
      <c r="D5" s="10" t="s">
        <v>552</v>
      </c>
      <c r="E5" s="10" t="s">
        <v>553</v>
      </c>
      <c r="F5" s="10" t="s">
        <v>554</v>
      </c>
      <c r="G5" s="10" t="s">
        <v>555</v>
      </c>
      <c r="H5" s="10" t="s">
        <v>556</v>
      </c>
      <c r="I5" s="10" t="s">
        <v>557</v>
      </c>
    </row>
    <row r="6" spans="1:9" x14ac:dyDescent="0.25">
      <c r="A6" t="s">
        <v>558</v>
      </c>
      <c r="B6" t="s">
        <v>559</v>
      </c>
      <c r="C6" t="s">
        <v>560</v>
      </c>
      <c r="D6" t="s">
        <v>561</v>
      </c>
      <c r="E6" t="s">
        <v>526</v>
      </c>
      <c r="F6" t="s">
        <v>332</v>
      </c>
      <c r="G6" t="s">
        <v>294</v>
      </c>
      <c r="H6" t="s">
        <v>332</v>
      </c>
      <c r="I6" t="s">
        <v>290</v>
      </c>
    </row>
    <row r="7" spans="1:9" x14ac:dyDescent="0.25">
      <c r="A7" t="s">
        <v>562</v>
      </c>
      <c r="B7" t="s">
        <v>563</v>
      </c>
      <c r="C7" t="s">
        <v>560</v>
      </c>
      <c r="D7" t="s">
        <v>564</v>
      </c>
      <c r="E7" t="s">
        <v>308</v>
      </c>
      <c r="F7" t="s">
        <v>318</v>
      </c>
      <c r="G7" t="s">
        <v>294</v>
      </c>
      <c r="H7" t="s">
        <v>332</v>
      </c>
      <c r="I7" t="s">
        <v>290</v>
      </c>
    </row>
    <row r="8" spans="1:9" x14ac:dyDescent="0.25">
      <c r="A8" t="s">
        <v>565</v>
      </c>
      <c r="B8" t="s">
        <v>566</v>
      </c>
      <c r="C8" t="s">
        <v>560</v>
      </c>
      <c r="D8" t="s">
        <v>268</v>
      </c>
      <c r="E8" t="s">
        <v>526</v>
      </c>
      <c r="F8" t="s">
        <v>251</v>
      </c>
      <c r="G8" t="s">
        <v>299</v>
      </c>
      <c r="H8" t="s">
        <v>332</v>
      </c>
      <c r="I8" t="s">
        <v>290</v>
      </c>
    </row>
    <row r="9" spans="1:9" x14ac:dyDescent="0.25">
      <c r="A9" t="s">
        <v>567</v>
      </c>
      <c r="B9" t="s">
        <v>568</v>
      </c>
      <c r="C9" t="s">
        <v>560</v>
      </c>
      <c r="D9" t="s">
        <v>561</v>
      </c>
      <c r="E9" t="s">
        <v>526</v>
      </c>
      <c r="F9" t="s">
        <v>332</v>
      </c>
      <c r="G9" t="s">
        <v>294</v>
      </c>
      <c r="H9" t="s">
        <v>332</v>
      </c>
      <c r="I9" t="s">
        <v>290</v>
      </c>
    </row>
    <row r="10" spans="1:9" x14ac:dyDescent="0.25">
      <c r="A10" t="s">
        <v>569</v>
      </c>
      <c r="B10" t="s">
        <v>570</v>
      </c>
      <c r="C10" t="s">
        <v>560</v>
      </c>
      <c r="D10" t="s">
        <v>571</v>
      </c>
      <c r="E10" t="s">
        <v>308</v>
      </c>
      <c r="F10" t="s">
        <v>332</v>
      </c>
      <c r="G10" t="s">
        <v>294</v>
      </c>
      <c r="H10" t="s">
        <v>332</v>
      </c>
      <c r="I10" t="s">
        <v>290</v>
      </c>
    </row>
    <row r="11" spans="1:9" x14ac:dyDescent="0.25">
      <c r="A11" t="s">
        <v>572</v>
      </c>
      <c r="B11" t="s">
        <v>573</v>
      </c>
      <c r="C11" t="s">
        <v>574</v>
      </c>
      <c r="D11" t="s">
        <v>564</v>
      </c>
      <c r="E11" t="s">
        <v>312</v>
      </c>
      <c r="F11" t="s">
        <v>328</v>
      </c>
      <c r="G11" t="s">
        <v>294</v>
      </c>
      <c r="H11" t="s">
        <v>318</v>
      </c>
      <c r="I11" t="s">
        <v>290</v>
      </c>
    </row>
    <row r="12" spans="1:9" x14ac:dyDescent="0.25">
      <c r="A12" t="s">
        <v>575</v>
      </c>
      <c r="B12" t="s">
        <v>576</v>
      </c>
      <c r="C12" t="s">
        <v>574</v>
      </c>
      <c r="D12" t="s">
        <v>577</v>
      </c>
      <c r="E12" t="s">
        <v>284</v>
      </c>
      <c r="F12" t="s">
        <v>318</v>
      </c>
      <c r="G12" t="s">
        <v>294</v>
      </c>
      <c r="H12" t="s">
        <v>318</v>
      </c>
      <c r="I12" t="s">
        <v>290</v>
      </c>
    </row>
    <row r="13" spans="1:9" x14ac:dyDescent="0.25">
      <c r="A13" t="s">
        <v>578</v>
      </c>
      <c r="B13" t="s">
        <v>579</v>
      </c>
      <c r="C13" t="s">
        <v>574</v>
      </c>
      <c r="D13" t="s">
        <v>580</v>
      </c>
      <c r="E13" t="s">
        <v>580</v>
      </c>
      <c r="F13" t="s">
        <v>580</v>
      </c>
      <c r="G13" t="s">
        <v>580</v>
      </c>
      <c r="H13" t="s">
        <v>318</v>
      </c>
      <c r="I13" t="s">
        <v>290</v>
      </c>
    </row>
    <row r="14" spans="1:9" x14ac:dyDescent="0.25">
      <c r="A14" t="s">
        <v>581</v>
      </c>
      <c r="B14" t="s">
        <v>582</v>
      </c>
      <c r="C14" t="s">
        <v>574</v>
      </c>
      <c r="D14" t="s">
        <v>564</v>
      </c>
      <c r="E14" t="s">
        <v>312</v>
      </c>
      <c r="F14" t="s">
        <v>328</v>
      </c>
      <c r="G14" t="s">
        <v>294</v>
      </c>
      <c r="H14" t="s">
        <v>318</v>
      </c>
      <c r="I14" t="s">
        <v>290</v>
      </c>
    </row>
    <row r="15" spans="1:9" x14ac:dyDescent="0.25">
      <c r="A15" t="s">
        <v>583</v>
      </c>
      <c r="B15" t="s">
        <v>437</v>
      </c>
      <c r="C15" t="s">
        <v>584</v>
      </c>
      <c r="D15" t="s">
        <v>577</v>
      </c>
      <c r="E15" t="s">
        <v>307</v>
      </c>
      <c r="F15" t="s">
        <v>318</v>
      </c>
      <c r="G15" t="s">
        <v>294</v>
      </c>
      <c r="H15" t="s">
        <v>309</v>
      </c>
      <c r="I15" t="s">
        <v>585</v>
      </c>
    </row>
    <row r="16" spans="1:9" x14ac:dyDescent="0.25">
      <c r="A16" t="s">
        <v>586</v>
      </c>
      <c r="B16" t="s">
        <v>461</v>
      </c>
      <c r="C16" t="s">
        <v>587</v>
      </c>
      <c r="D16" t="s">
        <v>577</v>
      </c>
      <c r="E16" t="s">
        <v>307</v>
      </c>
      <c r="F16" t="s">
        <v>318</v>
      </c>
      <c r="G16" t="s">
        <v>294</v>
      </c>
      <c r="H16" t="s">
        <v>309</v>
      </c>
      <c r="I16" t="s">
        <v>585</v>
      </c>
    </row>
    <row r="17" spans="1:9" x14ac:dyDescent="0.25">
      <c r="A17" t="s">
        <v>588</v>
      </c>
      <c r="B17" t="s">
        <v>589</v>
      </c>
      <c r="C17" t="s">
        <v>590</v>
      </c>
      <c r="D17" t="s">
        <v>268</v>
      </c>
      <c r="E17" t="s">
        <v>434</v>
      </c>
      <c r="F17" t="s">
        <v>332</v>
      </c>
      <c r="G17" t="s">
        <v>299</v>
      </c>
      <c r="H17" t="s">
        <v>313</v>
      </c>
      <c r="I17" t="s">
        <v>585</v>
      </c>
    </row>
    <row r="18" spans="1:9" x14ac:dyDescent="0.25">
      <c r="A18" t="s">
        <v>591</v>
      </c>
      <c r="B18" t="s">
        <v>592</v>
      </c>
      <c r="C18" t="s">
        <v>590</v>
      </c>
      <c r="D18" t="s">
        <v>593</v>
      </c>
      <c r="E18" t="s">
        <v>434</v>
      </c>
      <c r="F18" t="s">
        <v>332</v>
      </c>
      <c r="G18" t="s">
        <v>299</v>
      </c>
      <c r="H18" t="s">
        <v>313</v>
      </c>
      <c r="I18" t="s">
        <v>585</v>
      </c>
    </row>
    <row r="19" spans="1:9" x14ac:dyDescent="0.25">
      <c r="A19" t="s">
        <v>594</v>
      </c>
      <c r="B19" t="s">
        <v>595</v>
      </c>
      <c r="C19" t="s">
        <v>590</v>
      </c>
      <c r="D19" t="s">
        <v>596</v>
      </c>
      <c r="E19" t="s">
        <v>526</v>
      </c>
      <c r="F19" t="s">
        <v>251</v>
      </c>
      <c r="G19" t="s">
        <v>304</v>
      </c>
      <c r="H19" t="s">
        <v>318</v>
      </c>
      <c r="I19" t="s">
        <v>585</v>
      </c>
    </row>
    <row r="20" spans="1:9" x14ac:dyDescent="0.25">
      <c r="A20" t="s">
        <v>597</v>
      </c>
      <c r="B20" t="s">
        <v>598</v>
      </c>
      <c r="C20" t="s">
        <v>584</v>
      </c>
      <c r="D20" t="s">
        <v>564</v>
      </c>
      <c r="E20" t="s">
        <v>307</v>
      </c>
      <c r="F20" t="s">
        <v>318</v>
      </c>
      <c r="G20" t="s">
        <v>294</v>
      </c>
      <c r="H20" t="s">
        <v>309</v>
      </c>
      <c r="I20" t="s">
        <v>585</v>
      </c>
    </row>
    <row r="21" spans="1:9" x14ac:dyDescent="0.25">
      <c r="A21" t="s">
        <v>599</v>
      </c>
      <c r="B21" t="s">
        <v>600</v>
      </c>
      <c r="C21" t="s">
        <v>584</v>
      </c>
      <c r="D21" t="s">
        <v>564</v>
      </c>
      <c r="E21" t="s">
        <v>307</v>
      </c>
      <c r="F21" t="s">
        <v>318</v>
      </c>
      <c r="G21" t="s">
        <v>294</v>
      </c>
      <c r="H21" t="s">
        <v>309</v>
      </c>
      <c r="I21" t="s">
        <v>585</v>
      </c>
    </row>
    <row r="22" spans="1:9" x14ac:dyDescent="0.25">
      <c r="A22" t="s">
        <v>601</v>
      </c>
      <c r="B22" t="s">
        <v>602</v>
      </c>
      <c r="C22" t="s">
        <v>14</v>
      </c>
      <c r="D22" t="s">
        <v>564</v>
      </c>
      <c r="E22" t="s">
        <v>317</v>
      </c>
      <c r="F22" t="s">
        <v>332</v>
      </c>
      <c r="G22" t="s">
        <v>294</v>
      </c>
      <c r="H22" t="s">
        <v>318</v>
      </c>
      <c r="I22" t="s">
        <v>585</v>
      </c>
    </row>
    <row r="23" spans="1:9" x14ac:dyDescent="0.25">
      <c r="A23" t="s">
        <v>603</v>
      </c>
      <c r="B23" t="s">
        <v>604</v>
      </c>
      <c r="C23" t="s">
        <v>14</v>
      </c>
      <c r="D23" t="s">
        <v>605</v>
      </c>
      <c r="E23" t="s">
        <v>284</v>
      </c>
      <c r="F23" t="s">
        <v>332</v>
      </c>
      <c r="G23" t="s">
        <v>294</v>
      </c>
      <c r="H23" t="s">
        <v>318</v>
      </c>
      <c r="I23" t="s">
        <v>585</v>
      </c>
    </row>
    <row r="24" spans="1:9" x14ac:dyDescent="0.25">
      <c r="A24" t="s">
        <v>606</v>
      </c>
      <c r="B24" t="s">
        <v>607</v>
      </c>
      <c r="C24" t="s">
        <v>587</v>
      </c>
      <c r="D24" t="s">
        <v>608</v>
      </c>
      <c r="E24" t="s">
        <v>317</v>
      </c>
      <c r="F24" t="s">
        <v>318</v>
      </c>
      <c r="G24" t="s">
        <v>294</v>
      </c>
      <c r="H24" t="s">
        <v>313</v>
      </c>
      <c r="I24" t="s">
        <v>585</v>
      </c>
    </row>
    <row r="25" spans="1:9" x14ac:dyDescent="0.25">
      <c r="A25" t="s">
        <v>609</v>
      </c>
      <c r="B25" t="s">
        <v>610</v>
      </c>
      <c r="C25" t="s">
        <v>587</v>
      </c>
      <c r="D25" t="s">
        <v>561</v>
      </c>
      <c r="E25" t="s">
        <v>312</v>
      </c>
      <c r="F25" t="s">
        <v>318</v>
      </c>
      <c r="G25" t="s">
        <v>299</v>
      </c>
      <c r="H25" t="s">
        <v>313</v>
      </c>
      <c r="I25" t="s">
        <v>585</v>
      </c>
    </row>
    <row r="26" spans="1:9" x14ac:dyDescent="0.25">
      <c r="A26" t="s">
        <v>611</v>
      </c>
      <c r="B26" t="s">
        <v>463</v>
      </c>
      <c r="C26" t="s">
        <v>587</v>
      </c>
      <c r="D26" t="s">
        <v>561</v>
      </c>
      <c r="E26" t="s">
        <v>312</v>
      </c>
      <c r="F26" t="s">
        <v>332</v>
      </c>
      <c r="G26" t="s">
        <v>299</v>
      </c>
      <c r="H26" t="s">
        <v>318</v>
      </c>
      <c r="I26" t="s">
        <v>585</v>
      </c>
    </row>
    <row r="27" spans="1:9" x14ac:dyDescent="0.25">
      <c r="A27" t="s">
        <v>612</v>
      </c>
      <c r="B27" t="s">
        <v>18</v>
      </c>
      <c r="C27" t="s">
        <v>613</v>
      </c>
      <c r="D27" t="s">
        <v>614</v>
      </c>
      <c r="E27" t="s">
        <v>438</v>
      </c>
      <c r="F27" t="s">
        <v>318</v>
      </c>
      <c r="G27" t="s">
        <v>294</v>
      </c>
      <c r="H27" t="s">
        <v>304</v>
      </c>
      <c r="I27" t="s">
        <v>585</v>
      </c>
    </row>
    <row r="28" spans="1:9" x14ac:dyDescent="0.25">
      <c r="A28" t="s">
        <v>615</v>
      </c>
      <c r="B28" t="s">
        <v>452</v>
      </c>
      <c r="C28" t="s">
        <v>616</v>
      </c>
      <c r="D28" t="s">
        <v>561</v>
      </c>
      <c r="E28" t="s">
        <v>312</v>
      </c>
      <c r="F28" t="s">
        <v>251</v>
      </c>
      <c r="G28" t="s">
        <v>299</v>
      </c>
      <c r="H28" t="s">
        <v>318</v>
      </c>
      <c r="I28" t="s">
        <v>585</v>
      </c>
    </row>
    <row r="29" spans="1:9" x14ac:dyDescent="0.25">
      <c r="A29" t="s">
        <v>617</v>
      </c>
      <c r="B29" t="s">
        <v>450</v>
      </c>
      <c r="C29" t="s">
        <v>616</v>
      </c>
      <c r="D29" t="s">
        <v>608</v>
      </c>
      <c r="E29" t="s">
        <v>284</v>
      </c>
      <c r="F29" t="s">
        <v>251</v>
      </c>
      <c r="G29" t="s">
        <v>294</v>
      </c>
      <c r="H29" t="s">
        <v>318</v>
      </c>
      <c r="I29" t="s">
        <v>585</v>
      </c>
    </row>
    <row r="30" spans="1:9" x14ac:dyDescent="0.25">
      <c r="A30" t="s">
        <v>618</v>
      </c>
      <c r="B30" t="s">
        <v>619</v>
      </c>
      <c r="C30" t="s">
        <v>620</v>
      </c>
      <c r="D30" t="s">
        <v>621</v>
      </c>
      <c r="E30" t="s">
        <v>312</v>
      </c>
      <c r="F30" t="s">
        <v>332</v>
      </c>
      <c r="G30" t="s">
        <v>299</v>
      </c>
      <c r="H30" t="s">
        <v>622</v>
      </c>
      <c r="I30" t="s">
        <v>585</v>
      </c>
    </row>
    <row r="31" spans="1:9" x14ac:dyDescent="0.25">
      <c r="A31" t="s">
        <v>623</v>
      </c>
      <c r="B31" t="s">
        <v>447</v>
      </c>
      <c r="C31" t="s">
        <v>447</v>
      </c>
      <c r="D31" t="s">
        <v>577</v>
      </c>
      <c r="E31" t="s">
        <v>307</v>
      </c>
      <c r="F31" t="s">
        <v>318</v>
      </c>
      <c r="G31" t="s">
        <v>294</v>
      </c>
      <c r="H31" t="s">
        <v>309</v>
      </c>
      <c r="I31" t="s">
        <v>585</v>
      </c>
    </row>
    <row r="32" spans="1:9" x14ac:dyDescent="0.25">
      <c r="A32" t="s">
        <v>624</v>
      </c>
      <c r="B32" t="s">
        <v>453</v>
      </c>
      <c r="C32" t="s">
        <v>625</v>
      </c>
      <c r="D32" t="s">
        <v>608</v>
      </c>
      <c r="E32" t="s">
        <v>312</v>
      </c>
      <c r="F32" t="s">
        <v>332</v>
      </c>
      <c r="G32" t="s">
        <v>299</v>
      </c>
      <c r="H32" t="s">
        <v>318</v>
      </c>
      <c r="I32" t="s">
        <v>585</v>
      </c>
    </row>
    <row r="35" spans="1:9" x14ac:dyDescent="0.25">
      <c r="A35" s="25" t="s">
        <v>626</v>
      </c>
      <c r="B35" s="26"/>
      <c r="C35" s="26"/>
      <c r="D35" s="26"/>
      <c r="E35" s="26"/>
      <c r="F35" s="26"/>
      <c r="G35" s="26"/>
      <c r="H35" s="26"/>
      <c r="I35" s="26"/>
    </row>
    <row r="36" spans="1:9" x14ac:dyDescent="0.25">
      <c r="A36" s="10" t="s">
        <v>627</v>
      </c>
      <c r="B36" s="10" t="s">
        <v>628</v>
      </c>
      <c r="C36" s="10" t="s">
        <v>629</v>
      </c>
      <c r="D36" s="10" t="s">
        <v>630</v>
      </c>
      <c r="E36" s="10" t="s">
        <v>155</v>
      </c>
      <c r="F36" s="10" t="s">
        <v>524</v>
      </c>
      <c r="G36" s="10" t="s">
        <v>631</v>
      </c>
      <c r="H36" s="10" t="s">
        <v>632</v>
      </c>
      <c r="I36" s="10" t="s">
        <v>214</v>
      </c>
    </row>
    <row r="37" spans="1:9" x14ac:dyDescent="0.25">
      <c r="A37" t="s">
        <v>633</v>
      </c>
      <c r="B37" t="s">
        <v>634</v>
      </c>
      <c r="C37" t="s">
        <v>635</v>
      </c>
      <c r="D37" t="s">
        <v>636</v>
      </c>
      <c r="E37" t="s">
        <v>637</v>
      </c>
      <c r="F37" t="s">
        <v>638</v>
      </c>
      <c r="G37" t="s">
        <v>639</v>
      </c>
      <c r="H37" t="s">
        <v>640</v>
      </c>
      <c r="I37" t="s">
        <v>391</v>
      </c>
    </row>
    <row r="38" spans="1:9" x14ac:dyDescent="0.25">
      <c r="A38" t="s">
        <v>641</v>
      </c>
      <c r="B38" t="s">
        <v>642</v>
      </c>
      <c r="C38" t="s">
        <v>643</v>
      </c>
      <c r="D38" t="s">
        <v>644</v>
      </c>
      <c r="E38" t="s">
        <v>645</v>
      </c>
      <c r="F38" t="s">
        <v>646</v>
      </c>
      <c r="G38" t="s">
        <v>647</v>
      </c>
      <c r="H38" t="s">
        <v>648</v>
      </c>
      <c r="I38" t="s">
        <v>391</v>
      </c>
    </row>
    <row r="39" spans="1:9" x14ac:dyDescent="0.25">
      <c r="A39" t="s">
        <v>649</v>
      </c>
      <c r="B39" t="s">
        <v>650</v>
      </c>
      <c r="C39" t="s">
        <v>651</v>
      </c>
      <c r="D39" t="s">
        <v>652</v>
      </c>
      <c r="E39" t="s">
        <v>653</v>
      </c>
      <c r="F39" t="s">
        <v>654</v>
      </c>
      <c r="G39" t="s">
        <v>639</v>
      </c>
      <c r="H39" t="s">
        <v>640</v>
      </c>
      <c r="I39" t="s">
        <v>391</v>
      </c>
    </row>
    <row r="40" spans="1:9" x14ac:dyDescent="0.25">
      <c r="A40" t="s">
        <v>655</v>
      </c>
      <c r="B40" t="s">
        <v>656</v>
      </c>
      <c r="C40" t="s">
        <v>657</v>
      </c>
      <c r="D40" t="s">
        <v>622</v>
      </c>
      <c r="E40" t="s">
        <v>658</v>
      </c>
      <c r="F40" t="s">
        <v>659</v>
      </c>
      <c r="G40" t="s">
        <v>660</v>
      </c>
      <c r="H40" t="s">
        <v>661</v>
      </c>
      <c r="I40" t="s">
        <v>225</v>
      </c>
    </row>
    <row r="41" spans="1:9" x14ac:dyDescent="0.25">
      <c r="A41" t="s">
        <v>662</v>
      </c>
      <c r="B41" t="s">
        <v>663</v>
      </c>
      <c r="C41" t="s">
        <v>664</v>
      </c>
      <c r="D41" t="s">
        <v>622</v>
      </c>
      <c r="E41" t="s">
        <v>658</v>
      </c>
      <c r="F41" t="s">
        <v>665</v>
      </c>
      <c r="G41" t="s">
        <v>666</v>
      </c>
      <c r="H41" t="s">
        <v>667</v>
      </c>
      <c r="I41" t="s">
        <v>225</v>
      </c>
    </row>
    <row r="42" spans="1:9" x14ac:dyDescent="0.25">
      <c r="A42" t="s">
        <v>668</v>
      </c>
      <c r="B42" t="s">
        <v>669</v>
      </c>
      <c r="C42" t="s">
        <v>670</v>
      </c>
      <c r="D42" t="s">
        <v>622</v>
      </c>
      <c r="E42" t="s">
        <v>671</v>
      </c>
      <c r="F42" t="s">
        <v>672</v>
      </c>
      <c r="G42" t="s">
        <v>673</v>
      </c>
      <c r="H42" t="s">
        <v>640</v>
      </c>
      <c r="I42" t="s">
        <v>674</v>
      </c>
    </row>
    <row r="43" spans="1:9" x14ac:dyDescent="0.25">
      <c r="A43" t="s">
        <v>675</v>
      </c>
      <c r="B43" t="s">
        <v>676</v>
      </c>
      <c r="C43" t="s">
        <v>677</v>
      </c>
      <c r="D43" t="s">
        <v>678</v>
      </c>
      <c r="E43" t="s">
        <v>679</v>
      </c>
      <c r="F43" t="s">
        <v>680</v>
      </c>
      <c r="G43" t="s">
        <v>681</v>
      </c>
      <c r="H43" t="s">
        <v>640</v>
      </c>
      <c r="I43" t="s">
        <v>682</v>
      </c>
    </row>
    <row r="44" spans="1:9" x14ac:dyDescent="0.25">
      <c r="A44" t="s">
        <v>683</v>
      </c>
      <c r="B44" t="s">
        <v>684</v>
      </c>
      <c r="C44" t="s">
        <v>685</v>
      </c>
      <c r="D44" t="s">
        <v>622</v>
      </c>
      <c r="E44" t="s">
        <v>679</v>
      </c>
      <c r="F44" t="s">
        <v>686</v>
      </c>
      <c r="G44" t="s">
        <v>687</v>
      </c>
      <c r="H44" t="s">
        <v>688</v>
      </c>
      <c r="I44" t="s">
        <v>689</v>
      </c>
    </row>
    <row r="45" spans="1:9" x14ac:dyDescent="0.25">
      <c r="A45" t="s">
        <v>690</v>
      </c>
      <c r="B45" t="s">
        <v>691</v>
      </c>
      <c r="C45" t="s">
        <v>692</v>
      </c>
      <c r="D45" t="s">
        <v>693</v>
      </c>
      <c r="E45" t="s">
        <v>679</v>
      </c>
      <c r="F45" t="s">
        <v>694</v>
      </c>
      <c r="G45" t="s">
        <v>687</v>
      </c>
      <c r="H45" t="s">
        <v>640</v>
      </c>
      <c r="I45" t="s">
        <v>695</v>
      </c>
    </row>
    <row r="46" spans="1:9" x14ac:dyDescent="0.25">
      <c r="A46" t="s">
        <v>696</v>
      </c>
      <c r="B46" t="s">
        <v>697</v>
      </c>
      <c r="C46" t="s">
        <v>698</v>
      </c>
      <c r="D46" t="s">
        <v>622</v>
      </c>
      <c r="E46" t="s">
        <v>699</v>
      </c>
      <c r="F46" t="s">
        <v>700</v>
      </c>
      <c r="G46" t="s">
        <v>687</v>
      </c>
      <c r="H46" t="s">
        <v>701</v>
      </c>
      <c r="I46" t="s">
        <v>702</v>
      </c>
    </row>
    <row r="47" spans="1:9" x14ac:dyDescent="0.25">
      <c r="A47" t="s">
        <v>703</v>
      </c>
      <c r="B47" t="s">
        <v>704</v>
      </c>
      <c r="C47" t="s">
        <v>698</v>
      </c>
      <c r="D47" t="s">
        <v>622</v>
      </c>
      <c r="E47" t="s">
        <v>705</v>
      </c>
      <c r="F47" t="s">
        <v>706</v>
      </c>
      <c r="G47" t="s">
        <v>687</v>
      </c>
      <c r="H47" t="s">
        <v>701</v>
      </c>
      <c r="I47" t="s">
        <v>707</v>
      </c>
    </row>
    <row r="48" spans="1:9" x14ac:dyDescent="0.25">
      <c r="A48" t="s">
        <v>708</v>
      </c>
      <c r="B48" t="s">
        <v>709</v>
      </c>
      <c r="C48" t="s">
        <v>710</v>
      </c>
      <c r="D48" t="s">
        <v>622</v>
      </c>
      <c r="E48" t="s">
        <v>711</v>
      </c>
      <c r="F48" t="s">
        <v>712</v>
      </c>
      <c r="G48" t="s">
        <v>713</v>
      </c>
      <c r="H48" t="s">
        <v>714</v>
      </c>
      <c r="I48" t="s">
        <v>715</v>
      </c>
    </row>
    <row r="51" spans="1:9" x14ac:dyDescent="0.25">
      <c r="A51" s="25" t="s">
        <v>716</v>
      </c>
      <c r="B51" s="26"/>
      <c r="C51" s="26"/>
      <c r="D51" s="26"/>
      <c r="E51" s="26"/>
      <c r="F51" s="26"/>
      <c r="G51" s="26"/>
      <c r="H51" s="26"/>
      <c r="I51" s="26"/>
    </row>
    <row r="52" spans="1:9" x14ac:dyDescent="0.25">
      <c r="A52" s="10" t="s">
        <v>627</v>
      </c>
      <c r="B52" s="10" t="s">
        <v>717</v>
      </c>
      <c r="C52" s="10" t="s">
        <v>718</v>
      </c>
      <c r="D52" s="10" t="s">
        <v>631</v>
      </c>
      <c r="E52" s="10" t="s">
        <v>719</v>
      </c>
      <c r="F52" s="10" t="s">
        <v>155</v>
      </c>
      <c r="G52" s="10" t="s">
        <v>720</v>
      </c>
      <c r="H52" s="10" t="s">
        <v>721</v>
      </c>
      <c r="I52" s="10" t="s">
        <v>214</v>
      </c>
    </row>
    <row r="53" spans="1:9" x14ac:dyDescent="0.25">
      <c r="A53" t="s">
        <v>722</v>
      </c>
      <c r="B53" t="s">
        <v>723</v>
      </c>
      <c r="C53" t="s">
        <v>724</v>
      </c>
      <c r="D53" t="s">
        <v>725</v>
      </c>
      <c r="E53" t="s">
        <v>726</v>
      </c>
      <c r="F53" t="s">
        <v>727</v>
      </c>
      <c r="G53" t="s">
        <v>728</v>
      </c>
      <c r="H53" t="s">
        <v>729</v>
      </c>
      <c r="I53" t="s">
        <v>281</v>
      </c>
    </row>
    <row r="54" spans="1:9" x14ac:dyDescent="0.25">
      <c r="A54" t="s">
        <v>730</v>
      </c>
      <c r="B54" t="s">
        <v>731</v>
      </c>
      <c r="C54" t="s">
        <v>724</v>
      </c>
      <c r="D54" t="s">
        <v>732</v>
      </c>
      <c r="E54" t="s">
        <v>733</v>
      </c>
      <c r="F54" t="s">
        <v>734</v>
      </c>
      <c r="G54" t="s">
        <v>728</v>
      </c>
      <c r="H54" t="s">
        <v>729</v>
      </c>
      <c r="I54" t="s">
        <v>281</v>
      </c>
    </row>
    <row r="55" spans="1:9" x14ac:dyDescent="0.25">
      <c r="A55" t="s">
        <v>735</v>
      </c>
      <c r="B55" t="s">
        <v>736</v>
      </c>
      <c r="C55" t="s">
        <v>737</v>
      </c>
      <c r="D55" t="s">
        <v>299</v>
      </c>
      <c r="E55" t="s">
        <v>726</v>
      </c>
      <c r="F55" t="s">
        <v>738</v>
      </c>
      <c r="G55" t="s">
        <v>728</v>
      </c>
      <c r="H55" t="s">
        <v>729</v>
      </c>
      <c r="I55" t="s">
        <v>281</v>
      </c>
    </row>
    <row r="56" spans="1:9" x14ac:dyDescent="0.25">
      <c r="A56" t="s">
        <v>739</v>
      </c>
      <c r="B56" t="s">
        <v>740</v>
      </c>
      <c r="C56" t="s">
        <v>741</v>
      </c>
      <c r="D56" t="s">
        <v>304</v>
      </c>
      <c r="E56" t="s">
        <v>726</v>
      </c>
      <c r="F56" t="s">
        <v>742</v>
      </c>
      <c r="G56" t="s">
        <v>728</v>
      </c>
      <c r="H56" t="s">
        <v>729</v>
      </c>
      <c r="I56" t="s">
        <v>281</v>
      </c>
    </row>
    <row r="57" spans="1:9" x14ac:dyDescent="0.25">
      <c r="A57" t="s">
        <v>743</v>
      </c>
      <c r="B57" t="s">
        <v>744</v>
      </c>
      <c r="C57" t="s">
        <v>745</v>
      </c>
      <c r="D57" t="s">
        <v>746</v>
      </c>
      <c r="E57" t="s">
        <v>648</v>
      </c>
      <c r="F57" t="s">
        <v>747</v>
      </c>
      <c r="G57" t="s">
        <v>748</v>
      </c>
      <c r="H57" t="s">
        <v>729</v>
      </c>
      <c r="I57" t="s">
        <v>749</v>
      </c>
    </row>
    <row r="58" spans="1:9" x14ac:dyDescent="0.25">
      <c r="A58" t="s">
        <v>750</v>
      </c>
      <c r="B58" t="s">
        <v>751</v>
      </c>
      <c r="C58" t="s">
        <v>752</v>
      </c>
      <c r="D58" t="s">
        <v>753</v>
      </c>
      <c r="E58" t="s">
        <v>754</v>
      </c>
      <c r="F58" t="s">
        <v>738</v>
      </c>
      <c r="G58" t="s">
        <v>748</v>
      </c>
      <c r="H58" t="s">
        <v>729</v>
      </c>
      <c r="I58" t="s">
        <v>755</v>
      </c>
    </row>
    <row r="59" spans="1:9" x14ac:dyDescent="0.25">
      <c r="A59" t="s">
        <v>756</v>
      </c>
      <c r="B59" t="s">
        <v>756</v>
      </c>
      <c r="C59" t="s">
        <v>757</v>
      </c>
      <c r="D59" t="s">
        <v>758</v>
      </c>
      <c r="E59" t="s">
        <v>759</v>
      </c>
      <c r="F59" t="s">
        <v>637</v>
      </c>
      <c r="G59" t="s">
        <v>728</v>
      </c>
      <c r="H59" t="s">
        <v>729</v>
      </c>
      <c r="I59" t="s">
        <v>760</v>
      </c>
    </row>
    <row r="60" spans="1:9" x14ac:dyDescent="0.25">
      <c r="A60" t="s">
        <v>761</v>
      </c>
      <c r="B60" t="s">
        <v>761</v>
      </c>
      <c r="C60" t="s">
        <v>762</v>
      </c>
      <c r="D60" t="s">
        <v>763</v>
      </c>
      <c r="E60" t="s">
        <v>759</v>
      </c>
      <c r="F60" t="s">
        <v>764</v>
      </c>
      <c r="G60" t="s">
        <v>728</v>
      </c>
      <c r="H60" t="s">
        <v>729</v>
      </c>
      <c r="I60" t="s">
        <v>760</v>
      </c>
    </row>
    <row r="61" spans="1:9" x14ac:dyDescent="0.25">
      <c r="A61" t="s">
        <v>765</v>
      </c>
      <c r="B61" t="s">
        <v>766</v>
      </c>
      <c r="C61" t="s">
        <v>767</v>
      </c>
      <c r="D61" t="s">
        <v>681</v>
      </c>
      <c r="E61" t="s">
        <v>726</v>
      </c>
      <c r="F61" t="s">
        <v>768</v>
      </c>
      <c r="G61" t="s">
        <v>769</v>
      </c>
      <c r="H61" t="s">
        <v>729</v>
      </c>
      <c r="I61" t="s">
        <v>770</v>
      </c>
    </row>
    <row r="62" spans="1:9" x14ac:dyDescent="0.25">
      <c r="A62" t="s">
        <v>771</v>
      </c>
      <c r="B62" t="s">
        <v>772</v>
      </c>
      <c r="C62" t="s">
        <v>773</v>
      </c>
      <c r="D62" t="s">
        <v>725</v>
      </c>
      <c r="E62" t="s">
        <v>774</v>
      </c>
      <c r="F62" t="s">
        <v>775</v>
      </c>
      <c r="G62" t="s">
        <v>776</v>
      </c>
      <c r="H62" t="s">
        <v>268</v>
      </c>
      <c r="I62" t="s">
        <v>777</v>
      </c>
    </row>
    <row r="63" spans="1:9" x14ac:dyDescent="0.25">
      <c r="A63" t="s">
        <v>778</v>
      </c>
      <c r="B63" t="s">
        <v>779</v>
      </c>
      <c r="C63" t="s">
        <v>780</v>
      </c>
      <c r="D63" t="s">
        <v>781</v>
      </c>
      <c r="E63" t="s">
        <v>774</v>
      </c>
      <c r="F63" t="s">
        <v>742</v>
      </c>
      <c r="G63" t="s">
        <v>782</v>
      </c>
      <c r="H63" t="s">
        <v>268</v>
      </c>
      <c r="I63" t="s">
        <v>783</v>
      </c>
    </row>
    <row r="64" spans="1:9" x14ac:dyDescent="0.25">
      <c r="A64" t="s">
        <v>545</v>
      </c>
      <c r="B64" t="s">
        <v>784</v>
      </c>
      <c r="C64" t="s">
        <v>785</v>
      </c>
      <c r="D64" t="s">
        <v>746</v>
      </c>
      <c r="E64" t="s">
        <v>786</v>
      </c>
      <c r="F64" t="s">
        <v>291</v>
      </c>
      <c r="G64" t="s">
        <v>787</v>
      </c>
      <c r="H64" t="s">
        <v>729</v>
      </c>
      <c r="I64" t="s">
        <v>788</v>
      </c>
    </row>
    <row r="65" spans="1:9" x14ac:dyDescent="0.25">
      <c r="A65" t="s">
        <v>789</v>
      </c>
      <c r="B65" t="s">
        <v>790</v>
      </c>
      <c r="C65" t="s">
        <v>752</v>
      </c>
      <c r="D65" t="s">
        <v>781</v>
      </c>
      <c r="E65" t="s">
        <v>791</v>
      </c>
      <c r="F65" t="s">
        <v>637</v>
      </c>
      <c r="G65" t="s">
        <v>792</v>
      </c>
      <c r="H65" t="s">
        <v>729</v>
      </c>
      <c r="I65" t="s">
        <v>793</v>
      </c>
    </row>
    <row r="66" spans="1:9" x14ac:dyDescent="0.25">
      <c r="A66" t="s">
        <v>794</v>
      </c>
      <c r="B66" t="s">
        <v>795</v>
      </c>
      <c r="C66" t="s">
        <v>780</v>
      </c>
      <c r="D66" t="s">
        <v>796</v>
      </c>
      <c r="E66" t="s">
        <v>797</v>
      </c>
      <c r="F66" t="s">
        <v>798</v>
      </c>
      <c r="G66" t="s">
        <v>782</v>
      </c>
      <c r="H66" t="s">
        <v>729</v>
      </c>
      <c r="I66" t="s">
        <v>799</v>
      </c>
    </row>
    <row r="67" spans="1:9" x14ac:dyDescent="0.25">
      <c r="A67" t="s">
        <v>800</v>
      </c>
      <c r="B67" t="s">
        <v>801</v>
      </c>
      <c r="C67" t="s">
        <v>802</v>
      </c>
      <c r="D67" t="s">
        <v>681</v>
      </c>
      <c r="E67" t="s">
        <v>786</v>
      </c>
      <c r="F67" t="s">
        <v>803</v>
      </c>
      <c r="G67" t="s">
        <v>748</v>
      </c>
      <c r="H67" t="s">
        <v>729</v>
      </c>
      <c r="I67" t="s">
        <v>804</v>
      </c>
    </row>
    <row r="70" spans="1:9" x14ac:dyDescent="0.25">
      <c r="A70" s="25" t="s">
        <v>805</v>
      </c>
      <c r="B70" s="26"/>
      <c r="C70" s="26"/>
      <c r="D70" s="26"/>
      <c r="E70" s="26"/>
      <c r="F70" s="26"/>
      <c r="G70" s="26"/>
      <c r="H70" s="26"/>
      <c r="I70" s="26"/>
    </row>
    <row r="71" spans="1:9" x14ac:dyDescent="0.25">
      <c r="A71" s="10" t="s">
        <v>627</v>
      </c>
      <c r="B71" s="10" t="s">
        <v>806</v>
      </c>
      <c r="C71" s="10" t="s">
        <v>718</v>
      </c>
      <c r="D71" s="10" t="s">
        <v>524</v>
      </c>
      <c r="E71" s="10" t="s">
        <v>807</v>
      </c>
      <c r="F71" s="10" t="s">
        <v>808</v>
      </c>
      <c r="G71" s="10" t="s">
        <v>155</v>
      </c>
      <c r="H71" s="10" t="s">
        <v>214</v>
      </c>
      <c r="I71" s="10" t="s">
        <v>75</v>
      </c>
    </row>
    <row r="72" spans="1:9" x14ac:dyDescent="0.25">
      <c r="A72" t="s">
        <v>809</v>
      </c>
      <c r="B72" t="s">
        <v>810</v>
      </c>
      <c r="C72" t="s">
        <v>811</v>
      </c>
      <c r="D72" t="s">
        <v>812</v>
      </c>
      <c r="E72" t="s">
        <v>813</v>
      </c>
      <c r="F72" t="s">
        <v>302</v>
      </c>
      <c r="G72" t="s">
        <v>814</v>
      </c>
      <c r="H72" t="s">
        <v>281</v>
      </c>
      <c r="I72" t="s">
        <v>815</v>
      </c>
    </row>
    <row r="73" spans="1:9" x14ac:dyDescent="0.25">
      <c r="A73" t="s">
        <v>816</v>
      </c>
      <c r="B73" t="s">
        <v>817</v>
      </c>
      <c r="C73" t="s">
        <v>811</v>
      </c>
      <c r="D73" t="s">
        <v>812</v>
      </c>
      <c r="E73" t="s">
        <v>813</v>
      </c>
      <c r="F73" t="s">
        <v>448</v>
      </c>
      <c r="G73" t="s">
        <v>818</v>
      </c>
      <c r="H73" t="s">
        <v>281</v>
      </c>
      <c r="I73" t="s">
        <v>819</v>
      </c>
    </row>
    <row r="74" spans="1:9" x14ac:dyDescent="0.25">
      <c r="A74" t="s">
        <v>820</v>
      </c>
      <c r="B74" t="s">
        <v>821</v>
      </c>
      <c r="C74" t="s">
        <v>811</v>
      </c>
      <c r="D74" t="s">
        <v>812</v>
      </c>
      <c r="E74" t="s">
        <v>813</v>
      </c>
      <c r="F74" t="s">
        <v>289</v>
      </c>
      <c r="G74" t="s">
        <v>822</v>
      </c>
      <c r="H74" t="s">
        <v>281</v>
      </c>
      <c r="I74" t="s">
        <v>823</v>
      </c>
    </row>
    <row r="75" spans="1:9" x14ac:dyDescent="0.25">
      <c r="A75" t="s">
        <v>824</v>
      </c>
      <c r="B75" t="s">
        <v>825</v>
      </c>
      <c r="C75" t="s">
        <v>785</v>
      </c>
      <c r="D75" t="s">
        <v>533</v>
      </c>
      <c r="E75" t="s">
        <v>826</v>
      </c>
      <c r="F75" t="s">
        <v>297</v>
      </c>
      <c r="G75" t="s">
        <v>827</v>
      </c>
      <c r="H75" t="s">
        <v>290</v>
      </c>
      <c r="I75" t="s">
        <v>828</v>
      </c>
    </row>
    <row r="76" spans="1:9" x14ac:dyDescent="0.25">
      <c r="A76" t="s">
        <v>829</v>
      </c>
      <c r="B76" t="s">
        <v>830</v>
      </c>
      <c r="C76" t="s">
        <v>811</v>
      </c>
      <c r="D76" t="s">
        <v>812</v>
      </c>
      <c r="E76" t="s">
        <v>813</v>
      </c>
      <c r="F76" t="s">
        <v>831</v>
      </c>
      <c r="G76" t="s">
        <v>832</v>
      </c>
      <c r="H76" t="s">
        <v>281</v>
      </c>
      <c r="I76" t="s">
        <v>833</v>
      </c>
    </row>
    <row r="77" spans="1:9" x14ac:dyDescent="0.25">
      <c r="A77" t="s">
        <v>834</v>
      </c>
      <c r="B77" t="s">
        <v>835</v>
      </c>
      <c r="C77" t="s">
        <v>811</v>
      </c>
      <c r="D77" t="s">
        <v>812</v>
      </c>
      <c r="E77" t="s">
        <v>813</v>
      </c>
      <c r="F77" t="s">
        <v>831</v>
      </c>
      <c r="G77" t="s">
        <v>836</v>
      </c>
      <c r="H77" t="s">
        <v>281</v>
      </c>
      <c r="I77" t="s">
        <v>837</v>
      </c>
    </row>
    <row r="78" spans="1:9" x14ac:dyDescent="0.25">
      <c r="A78" t="s">
        <v>838</v>
      </c>
      <c r="B78" t="s">
        <v>839</v>
      </c>
      <c r="C78" t="s">
        <v>840</v>
      </c>
      <c r="D78" t="s">
        <v>841</v>
      </c>
      <c r="E78" t="s">
        <v>813</v>
      </c>
      <c r="F78" t="s">
        <v>307</v>
      </c>
      <c r="G78" t="s">
        <v>842</v>
      </c>
      <c r="H78" t="s">
        <v>281</v>
      </c>
      <c r="I78" t="s">
        <v>843</v>
      </c>
    </row>
    <row r="79" spans="1:9" x14ac:dyDescent="0.25">
      <c r="A79" t="s">
        <v>844</v>
      </c>
      <c r="B79" t="s">
        <v>845</v>
      </c>
      <c r="C79" t="s">
        <v>846</v>
      </c>
      <c r="D79" t="s">
        <v>847</v>
      </c>
      <c r="E79" t="s">
        <v>848</v>
      </c>
      <c r="F79" t="s">
        <v>435</v>
      </c>
      <c r="G79" t="s">
        <v>849</v>
      </c>
      <c r="H79" t="s">
        <v>281</v>
      </c>
      <c r="I79" t="s">
        <v>850</v>
      </c>
    </row>
    <row r="80" spans="1:9" x14ac:dyDescent="0.25">
      <c r="A80" t="s">
        <v>851</v>
      </c>
      <c r="B80" t="s">
        <v>852</v>
      </c>
      <c r="C80" t="s">
        <v>853</v>
      </c>
      <c r="D80" t="s">
        <v>812</v>
      </c>
      <c r="E80" t="s">
        <v>813</v>
      </c>
      <c r="F80" t="s">
        <v>457</v>
      </c>
      <c r="G80" t="s">
        <v>854</v>
      </c>
      <c r="H80" t="s">
        <v>281</v>
      </c>
      <c r="I80" t="s">
        <v>855</v>
      </c>
    </row>
    <row r="81" spans="1:9" x14ac:dyDescent="0.25">
      <c r="A81" t="s">
        <v>856</v>
      </c>
      <c r="B81" t="s">
        <v>857</v>
      </c>
      <c r="C81" t="s">
        <v>752</v>
      </c>
      <c r="D81" t="s">
        <v>858</v>
      </c>
      <c r="E81" t="s">
        <v>859</v>
      </c>
      <c r="F81" t="s">
        <v>340</v>
      </c>
      <c r="G81" t="s">
        <v>860</v>
      </c>
      <c r="H81" t="s">
        <v>281</v>
      </c>
      <c r="I81" t="s">
        <v>861</v>
      </c>
    </row>
    <row r="82" spans="1:9" x14ac:dyDescent="0.25">
      <c r="A82" t="s">
        <v>862</v>
      </c>
      <c r="B82" t="s">
        <v>863</v>
      </c>
      <c r="C82" t="s">
        <v>864</v>
      </c>
      <c r="D82" t="s">
        <v>654</v>
      </c>
      <c r="E82" t="s">
        <v>865</v>
      </c>
      <c r="F82" t="s">
        <v>336</v>
      </c>
      <c r="G82" t="s">
        <v>866</v>
      </c>
      <c r="H82" t="s">
        <v>867</v>
      </c>
      <c r="I82" t="s">
        <v>868</v>
      </c>
    </row>
    <row r="83" spans="1:9" x14ac:dyDescent="0.25">
      <c r="A83" t="s">
        <v>869</v>
      </c>
      <c r="B83" t="s">
        <v>870</v>
      </c>
      <c r="C83" t="s">
        <v>840</v>
      </c>
      <c r="D83" t="s">
        <v>841</v>
      </c>
      <c r="E83" t="s">
        <v>813</v>
      </c>
      <c r="F83" t="s">
        <v>457</v>
      </c>
      <c r="G83" t="s">
        <v>871</v>
      </c>
      <c r="H83" t="s">
        <v>281</v>
      </c>
      <c r="I83" t="s">
        <v>872</v>
      </c>
    </row>
    <row r="84" spans="1:9" x14ac:dyDescent="0.25">
      <c r="A84" t="s">
        <v>873</v>
      </c>
      <c r="B84" t="s">
        <v>874</v>
      </c>
      <c r="C84" t="s">
        <v>840</v>
      </c>
      <c r="D84" t="s">
        <v>841</v>
      </c>
      <c r="E84" t="s">
        <v>813</v>
      </c>
      <c r="F84" t="s">
        <v>457</v>
      </c>
      <c r="G84" t="s">
        <v>871</v>
      </c>
      <c r="H84" t="s">
        <v>281</v>
      </c>
      <c r="I84" t="s">
        <v>872</v>
      </c>
    </row>
    <row r="85" spans="1:9" x14ac:dyDescent="0.25">
      <c r="A85" t="s">
        <v>875</v>
      </c>
      <c r="B85" t="s">
        <v>876</v>
      </c>
      <c r="C85" t="s">
        <v>811</v>
      </c>
      <c r="D85" t="s">
        <v>812</v>
      </c>
      <c r="E85" t="s">
        <v>813</v>
      </c>
      <c r="F85" t="s">
        <v>622</v>
      </c>
      <c r="G85" t="s">
        <v>877</v>
      </c>
      <c r="H85" t="s">
        <v>281</v>
      </c>
      <c r="I85" t="s">
        <v>878</v>
      </c>
    </row>
    <row r="86" spans="1:9" x14ac:dyDescent="0.25">
      <c r="A86" t="s">
        <v>879</v>
      </c>
      <c r="B86" t="s">
        <v>880</v>
      </c>
      <c r="C86" t="s">
        <v>773</v>
      </c>
      <c r="D86" t="s">
        <v>881</v>
      </c>
      <c r="E86" t="s">
        <v>859</v>
      </c>
      <c r="F86" t="s">
        <v>622</v>
      </c>
      <c r="G86" t="s">
        <v>882</v>
      </c>
      <c r="H86" t="s">
        <v>883</v>
      </c>
      <c r="I86" t="s">
        <v>884</v>
      </c>
    </row>
    <row r="87" spans="1:9" x14ac:dyDescent="0.25">
      <c r="A87" t="s">
        <v>885</v>
      </c>
      <c r="B87" t="s">
        <v>886</v>
      </c>
      <c r="C87" t="s">
        <v>745</v>
      </c>
      <c r="D87" t="s">
        <v>847</v>
      </c>
      <c r="E87" t="s">
        <v>826</v>
      </c>
      <c r="F87" t="s">
        <v>297</v>
      </c>
      <c r="G87" t="s">
        <v>836</v>
      </c>
      <c r="H87" t="s">
        <v>281</v>
      </c>
      <c r="I87" t="s">
        <v>887</v>
      </c>
    </row>
    <row r="88" spans="1:9" x14ac:dyDescent="0.25">
      <c r="A88" t="s">
        <v>888</v>
      </c>
      <c r="B88" t="s">
        <v>889</v>
      </c>
      <c r="C88" t="s">
        <v>752</v>
      </c>
      <c r="D88" t="s">
        <v>890</v>
      </c>
      <c r="E88" t="s">
        <v>859</v>
      </c>
      <c r="F88" t="s">
        <v>340</v>
      </c>
      <c r="G88" t="s">
        <v>891</v>
      </c>
      <c r="H88" t="s">
        <v>883</v>
      </c>
      <c r="I88" t="s">
        <v>836</v>
      </c>
    </row>
    <row r="89" spans="1:9" x14ac:dyDescent="0.25">
      <c r="A89" t="s">
        <v>892</v>
      </c>
      <c r="B89" t="s">
        <v>893</v>
      </c>
      <c r="C89" t="s">
        <v>752</v>
      </c>
      <c r="D89" t="s">
        <v>894</v>
      </c>
      <c r="E89" t="s">
        <v>859</v>
      </c>
      <c r="F89" t="s">
        <v>457</v>
      </c>
      <c r="G89" t="s">
        <v>895</v>
      </c>
      <c r="H89" t="s">
        <v>883</v>
      </c>
      <c r="I89" t="s">
        <v>896</v>
      </c>
    </row>
    <row r="92" spans="1:9" x14ac:dyDescent="0.25">
      <c r="A92" s="25" t="s">
        <v>897</v>
      </c>
      <c r="B92" s="26"/>
      <c r="C92" s="26"/>
      <c r="D92" s="26"/>
      <c r="E92" s="26"/>
      <c r="F92" s="26"/>
      <c r="G92" s="26"/>
      <c r="H92" s="26"/>
      <c r="I92" s="26"/>
    </row>
    <row r="93" spans="1:9" x14ac:dyDescent="0.25">
      <c r="A93" s="10" t="s">
        <v>627</v>
      </c>
      <c r="B93" s="10" t="s">
        <v>898</v>
      </c>
      <c r="C93" s="10" t="s">
        <v>899</v>
      </c>
      <c r="D93" s="10" t="s">
        <v>524</v>
      </c>
      <c r="E93" s="10" t="s">
        <v>900</v>
      </c>
      <c r="F93" s="10" t="s">
        <v>155</v>
      </c>
      <c r="G93" s="10" t="s">
        <v>214</v>
      </c>
      <c r="H93" s="10" t="s">
        <v>901</v>
      </c>
      <c r="I93" s="10" t="s">
        <v>75</v>
      </c>
    </row>
    <row r="94" spans="1:9" x14ac:dyDescent="0.25">
      <c r="A94" t="s">
        <v>902</v>
      </c>
      <c r="B94" t="s">
        <v>903</v>
      </c>
      <c r="C94" t="s">
        <v>904</v>
      </c>
      <c r="D94" t="s">
        <v>905</v>
      </c>
      <c r="E94" t="s">
        <v>906</v>
      </c>
      <c r="F94" t="s">
        <v>907</v>
      </c>
      <c r="G94" t="s">
        <v>585</v>
      </c>
      <c r="H94" t="s">
        <v>908</v>
      </c>
      <c r="I94" t="s">
        <v>909</v>
      </c>
    </row>
    <row r="95" spans="1:9" x14ac:dyDescent="0.25">
      <c r="A95" t="s">
        <v>910</v>
      </c>
      <c r="B95" t="s">
        <v>911</v>
      </c>
      <c r="C95" t="s">
        <v>904</v>
      </c>
      <c r="D95" t="s">
        <v>905</v>
      </c>
      <c r="E95" t="s">
        <v>906</v>
      </c>
      <c r="F95" t="s">
        <v>912</v>
      </c>
      <c r="G95" t="s">
        <v>585</v>
      </c>
      <c r="H95" t="s">
        <v>913</v>
      </c>
      <c r="I95" t="s">
        <v>909</v>
      </c>
    </row>
    <row r="96" spans="1:9" x14ac:dyDescent="0.25">
      <c r="A96" t="s">
        <v>914</v>
      </c>
      <c r="B96" t="s">
        <v>915</v>
      </c>
      <c r="C96" t="s">
        <v>916</v>
      </c>
      <c r="D96" t="s">
        <v>917</v>
      </c>
      <c r="E96" t="s">
        <v>906</v>
      </c>
      <c r="F96" t="s">
        <v>918</v>
      </c>
      <c r="G96" t="s">
        <v>585</v>
      </c>
      <c r="H96" t="s">
        <v>919</v>
      </c>
      <c r="I96" t="s">
        <v>920</v>
      </c>
    </row>
    <row r="97" spans="1:9" x14ac:dyDescent="0.25">
      <c r="A97" t="s">
        <v>921</v>
      </c>
      <c r="B97" t="s">
        <v>17</v>
      </c>
      <c r="C97" t="s">
        <v>922</v>
      </c>
      <c r="D97" t="s">
        <v>923</v>
      </c>
      <c r="E97" t="s">
        <v>924</v>
      </c>
      <c r="F97" t="s">
        <v>925</v>
      </c>
      <c r="G97" t="s">
        <v>290</v>
      </c>
      <c r="H97" t="s">
        <v>926</v>
      </c>
      <c r="I97" t="s">
        <v>927</v>
      </c>
    </row>
    <row r="98" spans="1:9" x14ac:dyDescent="0.25">
      <c r="A98" t="s">
        <v>928</v>
      </c>
      <c r="B98" t="s">
        <v>929</v>
      </c>
      <c r="C98" t="s">
        <v>930</v>
      </c>
      <c r="D98" t="s">
        <v>533</v>
      </c>
      <c r="E98" t="s">
        <v>931</v>
      </c>
      <c r="F98" t="s">
        <v>932</v>
      </c>
      <c r="G98" t="s">
        <v>290</v>
      </c>
      <c r="H98" t="s">
        <v>933</v>
      </c>
      <c r="I98" t="s">
        <v>934</v>
      </c>
    </row>
    <row r="99" spans="1:9" x14ac:dyDescent="0.25">
      <c r="A99" t="s">
        <v>935</v>
      </c>
      <c r="B99" t="s">
        <v>936</v>
      </c>
      <c r="C99" t="s">
        <v>922</v>
      </c>
      <c r="D99" t="s">
        <v>937</v>
      </c>
      <c r="E99" t="s">
        <v>938</v>
      </c>
      <c r="F99" t="s">
        <v>939</v>
      </c>
      <c r="G99" t="s">
        <v>290</v>
      </c>
      <c r="H99" t="s">
        <v>940</v>
      </c>
      <c r="I99" t="s">
        <v>941</v>
      </c>
    </row>
    <row r="100" spans="1:9" x14ac:dyDescent="0.25">
      <c r="A100" t="s">
        <v>942</v>
      </c>
      <c r="B100" t="s">
        <v>943</v>
      </c>
      <c r="C100" t="s">
        <v>904</v>
      </c>
      <c r="D100" t="s">
        <v>944</v>
      </c>
      <c r="E100" t="s">
        <v>945</v>
      </c>
      <c r="F100" t="s">
        <v>827</v>
      </c>
      <c r="G100" t="s">
        <v>946</v>
      </c>
      <c r="H100" t="s">
        <v>947</v>
      </c>
      <c r="I100" t="s">
        <v>948</v>
      </c>
    </row>
    <row r="101" spans="1:9" x14ac:dyDescent="0.25">
      <c r="A101" t="s">
        <v>949</v>
      </c>
      <c r="B101" t="s">
        <v>950</v>
      </c>
      <c r="C101" t="s">
        <v>951</v>
      </c>
      <c r="D101" t="s">
        <v>646</v>
      </c>
      <c r="E101" t="s">
        <v>952</v>
      </c>
      <c r="F101" t="s">
        <v>953</v>
      </c>
      <c r="G101" t="s">
        <v>585</v>
      </c>
      <c r="H101" t="s">
        <v>954</v>
      </c>
      <c r="I101" t="s">
        <v>955</v>
      </c>
    </row>
    <row r="102" spans="1:9" x14ac:dyDescent="0.25">
      <c r="A102" t="s">
        <v>956</v>
      </c>
      <c r="B102" t="s">
        <v>957</v>
      </c>
      <c r="C102" t="s">
        <v>958</v>
      </c>
      <c r="D102" t="s">
        <v>917</v>
      </c>
      <c r="E102" t="s">
        <v>959</v>
      </c>
      <c r="F102" t="s">
        <v>918</v>
      </c>
      <c r="G102" t="s">
        <v>585</v>
      </c>
      <c r="H102" t="s">
        <v>960</v>
      </c>
      <c r="I102" t="s">
        <v>961</v>
      </c>
    </row>
    <row r="103" spans="1:9" x14ac:dyDescent="0.25">
      <c r="A103" t="s">
        <v>962</v>
      </c>
      <c r="B103" t="s">
        <v>963</v>
      </c>
      <c r="C103" t="s">
        <v>964</v>
      </c>
      <c r="D103" t="s">
        <v>923</v>
      </c>
      <c r="E103" t="s">
        <v>965</v>
      </c>
      <c r="F103" t="s">
        <v>966</v>
      </c>
      <c r="G103" t="s">
        <v>290</v>
      </c>
      <c r="H103" t="s">
        <v>967</v>
      </c>
      <c r="I103" t="s">
        <v>884</v>
      </c>
    </row>
    <row r="104" spans="1:9" x14ac:dyDescent="0.25">
      <c r="A104" t="s">
        <v>968</v>
      </c>
      <c r="B104" t="s">
        <v>969</v>
      </c>
      <c r="C104" t="s">
        <v>698</v>
      </c>
      <c r="D104" t="s">
        <v>970</v>
      </c>
      <c r="E104" t="s">
        <v>971</v>
      </c>
      <c r="F104" t="s">
        <v>972</v>
      </c>
      <c r="G104" t="s">
        <v>281</v>
      </c>
      <c r="H104" t="s">
        <v>973</v>
      </c>
      <c r="I104" t="s">
        <v>974</v>
      </c>
    </row>
    <row r="105" spans="1:9" x14ac:dyDescent="0.25">
      <c r="A105" t="s">
        <v>975</v>
      </c>
      <c r="B105" t="s">
        <v>976</v>
      </c>
      <c r="C105" t="s">
        <v>977</v>
      </c>
      <c r="D105" t="s">
        <v>978</v>
      </c>
      <c r="E105" t="s">
        <v>979</v>
      </c>
      <c r="F105" t="s">
        <v>980</v>
      </c>
      <c r="G105" t="s">
        <v>281</v>
      </c>
      <c r="H105" t="s">
        <v>981</v>
      </c>
      <c r="I105" t="s">
        <v>982</v>
      </c>
    </row>
    <row r="106" spans="1:9" x14ac:dyDescent="0.25">
      <c r="A106" t="s">
        <v>983</v>
      </c>
      <c r="B106" t="s">
        <v>984</v>
      </c>
      <c r="C106" t="s">
        <v>985</v>
      </c>
      <c r="D106" t="s">
        <v>986</v>
      </c>
      <c r="E106" t="s">
        <v>987</v>
      </c>
      <c r="F106" t="s">
        <v>988</v>
      </c>
      <c r="G106" t="s">
        <v>585</v>
      </c>
      <c r="H106" t="s">
        <v>989</v>
      </c>
      <c r="I106" t="s">
        <v>990</v>
      </c>
    </row>
    <row r="107" spans="1:9" x14ac:dyDescent="0.25">
      <c r="A107" t="s">
        <v>991</v>
      </c>
      <c r="B107" t="s">
        <v>992</v>
      </c>
      <c r="C107" t="s">
        <v>698</v>
      </c>
      <c r="D107" t="s">
        <v>993</v>
      </c>
      <c r="E107" t="s">
        <v>994</v>
      </c>
      <c r="F107" t="s">
        <v>995</v>
      </c>
      <c r="G107" t="s">
        <v>585</v>
      </c>
      <c r="H107" t="s">
        <v>996</v>
      </c>
      <c r="I107" t="s">
        <v>920</v>
      </c>
    </row>
    <row r="109" spans="1:9" ht="18.75" customHeight="1" x14ac:dyDescent="0.3">
      <c r="A109" s="32" t="s">
        <v>997</v>
      </c>
      <c r="B109" s="26"/>
      <c r="C109" s="26"/>
      <c r="D109" s="26"/>
      <c r="E109" s="26"/>
      <c r="F109" s="26"/>
      <c r="G109" s="26"/>
      <c r="H109" s="26"/>
    </row>
    <row r="110" spans="1:9" x14ac:dyDescent="0.25">
      <c r="A110" s="26" t="s">
        <v>998</v>
      </c>
      <c r="B110" s="26"/>
      <c r="C110" s="26"/>
      <c r="D110" s="26"/>
      <c r="E110" s="26"/>
      <c r="F110" s="26"/>
      <c r="G110" s="26"/>
      <c r="H110" s="26"/>
    </row>
    <row r="112" spans="1:9" x14ac:dyDescent="0.25">
      <c r="A112" s="25" t="s">
        <v>999</v>
      </c>
      <c r="B112" s="26"/>
      <c r="C112" s="26"/>
      <c r="D112" s="26"/>
      <c r="E112" s="26"/>
      <c r="F112" s="26"/>
      <c r="G112" s="26"/>
      <c r="H112" s="26"/>
    </row>
    <row r="113" spans="1:8" ht="26.25" customHeight="1" x14ac:dyDescent="0.25">
      <c r="A113" s="10" t="s">
        <v>1000</v>
      </c>
      <c r="B113" s="10" t="s">
        <v>1001</v>
      </c>
      <c r="C113" s="10" t="s">
        <v>1002</v>
      </c>
      <c r="D113" s="10" t="s">
        <v>1003</v>
      </c>
      <c r="E113" s="10" t="s">
        <v>349</v>
      </c>
      <c r="F113" s="10" t="s">
        <v>1004</v>
      </c>
      <c r="G113" s="10" t="s">
        <v>1005</v>
      </c>
      <c r="H113" s="10" t="s">
        <v>1006</v>
      </c>
    </row>
    <row r="114" spans="1:8" x14ac:dyDescent="0.25">
      <c r="A114" t="s">
        <v>1007</v>
      </c>
      <c r="B114" t="s">
        <v>1008</v>
      </c>
      <c r="C114" t="s">
        <v>1009</v>
      </c>
      <c r="D114" t="s">
        <v>1010</v>
      </c>
      <c r="E114" t="s">
        <v>1011</v>
      </c>
      <c r="F114" t="s">
        <v>1012</v>
      </c>
      <c r="G114" t="s">
        <v>1013</v>
      </c>
      <c r="H114" t="s">
        <v>1014</v>
      </c>
    </row>
    <row r="115" spans="1:8" x14ac:dyDescent="0.25">
      <c r="A115" t="s">
        <v>1015</v>
      </c>
      <c r="B115" t="s">
        <v>1016</v>
      </c>
      <c r="C115" t="s">
        <v>1017</v>
      </c>
      <c r="D115" t="s">
        <v>1018</v>
      </c>
      <c r="E115" t="s">
        <v>1019</v>
      </c>
      <c r="F115" t="s">
        <v>281</v>
      </c>
      <c r="G115" t="s">
        <v>1013</v>
      </c>
      <c r="H115" t="s">
        <v>1020</v>
      </c>
    </row>
    <row r="116" spans="1:8" x14ac:dyDescent="0.25">
      <c r="A116" t="s">
        <v>1021</v>
      </c>
      <c r="B116" t="s">
        <v>1022</v>
      </c>
      <c r="C116" t="s">
        <v>1023</v>
      </c>
      <c r="D116" t="s">
        <v>1024</v>
      </c>
      <c r="E116" t="s">
        <v>1025</v>
      </c>
      <c r="F116" t="s">
        <v>281</v>
      </c>
      <c r="G116" t="s">
        <v>1013</v>
      </c>
      <c r="H116" t="s">
        <v>1026</v>
      </c>
    </row>
    <row r="117" spans="1:8" x14ac:dyDescent="0.25">
      <c r="A117" t="s">
        <v>1027</v>
      </c>
      <c r="B117" t="s">
        <v>1028</v>
      </c>
      <c r="C117" t="s">
        <v>1029</v>
      </c>
      <c r="D117" t="s">
        <v>1030</v>
      </c>
      <c r="E117" t="s">
        <v>1031</v>
      </c>
      <c r="F117" t="s">
        <v>1032</v>
      </c>
      <c r="G117" t="s">
        <v>1013</v>
      </c>
      <c r="H117" t="s">
        <v>1033</v>
      </c>
    </row>
    <row r="118" spans="1:8" x14ac:dyDescent="0.25">
      <c r="A118" t="s">
        <v>1034</v>
      </c>
      <c r="B118" t="s">
        <v>1035</v>
      </c>
      <c r="C118" t="s">
        <v>1036</v>
      </c>
      <c r="D118" t="s">
        <v>1037</v>
      </c>
      <c r="E118" t="s">
        <v>1038</v>
      </c>
      <c r="F118" t="s">
        <v>1039</v>
      </c>
      <c r="G118" t="s">
        <v>1013</v>
      </c>
      <c r="H118" t="s">
        <v>1040</v>
      </c>
    </row>
    <row r="119" spans="1:8" x14ac:dyDescent="0.25">
      <c r="A119" t="s">
        <v>1041</v>
      </c>
      <c r="B119" t="s">
        <v>291</v>
      </c>
      <c r="C119" t="s">
        <v>1042</v>
      </c>
      <c r="D119" t="s">
        <v>1043</v>
      </c>
      <c r="E119" t="s">
        <v>1044</v>
      </c>
      <c r="F119" t="s">
        <v>290</v>
      </c>
      <c r="G119" t="s">
        <v>225</v>
      </c>
      <c r="H119" t="s">
        <v>1045</v>
      </c>
    </row>
    <row r="120" spans="1:8" x14ac:dyDescent="0.25">
      <c r="A120" t="s">
        <v>1046</v>
      </c>
      <c r="B120" t="s">
        <v>1047</v>
      </c>
      <c r="C120" t="s">
        <v>1048</v>
      </c>
      <c r="D120" t="s">
        <v>1049</v>
      </c>
      <c r="E120" t="s">
        <v>1050</v>
      </c>
      <c r="F120" t="s">
        <v>1051</v>
      </c>
      <c r="G120" t="s">
        <v>225</v>
      </c>
      <c r="H120" t="s">
        <v>1052</v>
      </c>
    </row>
    <row r="121" spans="1:8" x14ac:dyDescent="0.25">
      <c r="A121" t="s">
        <v>1053</v>
      </c>
      <c r="B121" t="s">
        <v>1054</v>
      </c>
      <c r="C121" t="s">
        <v>1055</v>
      </c>
      <c r="D121" t="s">
        <v>1056</v>
      </c>
      <c r="E121" t="s">
        <v>1057</v>
      </c>
      <c r="F121" t="s">
        <v>682</v>
      </c>
      <c r="G121" t="s">
        <v>1013</v>
      </c>
      <c r="H121" t="s">
        <v>1058</v>
      </c>
    </row>
    <row r="124" spans="1:8" x14ac:dyDescent="0.25">
      <c r="A124" s="25" t="s">
        <v>1059</v>
      </c>
      <c r="B124" s="26"/>
      <c r="C124" s="26"/>
      <c r="D124" s="26"/>
      <c r="E124" s="26"/>
      <c r="F124" s="26"/>
      <c r="G124" s="26"/>
      <c r="H124" s="26"/>
    </row>
    <row r="125" spans="1:8" ht="26.25" customHeight="1" x14ac:dyDescent="0.25">
      <c r="A125" s="10" t="s">
        <v>549</v>
      </c>
      <c r="B125" s="10" t="s">
        <v>550</v>
      </c>
      <c r="C125" s="10" t="s">
        <v>1060</v>
      </c>
      <c r="D125" s="10" t="s">
        <v>472</v>
      </c>
      <c r="E125" s="10" t="s">
        <v>349</v>
      </c>
      <c r="F125" s="10" t="s">
        <v>1061</v>
      </c>
      <c r="G125" s="10" t="s">
        <v>1062</v>
      </c>
      <c r="H125" s="10" t="s">
        <v>75</v>
      </c>
    </row>
    <row r="126" spans="1:8" x14ac:dyDescent="0.25">
      <c r="A126" t="s">
        <v>1063</v>
      </c>
      <c r="B126" t="s">
        <v>1064</v>
      </c>
      <c r="C126" t="s">
        <v>1065</v>
      </c>
      <c r="D126" t="s">
        <v>1066</v>
      </c>
      <c r="E126" t="s">
        <v>1067</v>
      </c>
      <c r="F126" t="s">
        <v>1068</v>
      </c>
      <c r="G126" t="s">
        <v>1069</v>
      </c>
      <c r="H126" t="s">
        <v>1070</v>
      </c>
    </row>
    <row r="127" spans="1:8" x14ac:dyDescent="0.25">
      <c r="A127" t="s">
        <v>1071</v>
      </c>
      <c r="B127" t="s">
        <v>1072</v>
      </c>
      <c r="C127" t="s">
        <v>1073</v>
      </c>
      <c r="D127" t="s">
        <v>1074</v>
      </c>
      <c r="E127" t="s">
        <v>1075</v>
      </c>
      <c r="F127" t="s">
        <v>1076</v>
      </c>
      <c r="G127" t="s">
        <v>1077</v>
      </c>
      <c r="H127" t="s">
        <v>1078</v>
      </c>
    </row>
    <row r="128" spans="1:8" x14ac:dyDescent="0.25">
      <c r="A128" t="s">
        <v>1079</v>
      </c>
      <c r="B128" t="s">
        <v>1080</v>
      </c>
      <c r="C128" t="s">
        <v>1081</v>
      </c>
      <c r="D128" t="s">
        <v>1082</v>
      </c>
      <c r="E128" t="s">
        <v>1067</v>
      </c>
      <c r="F128" t="s">
        <v>1083</v>
      </c>
      <c r="G128" t="s">
        <v>1084</v>
      </c>
      <c r="H128" t="s">
        <v>1085</v>
      </c>
    </row>
    <row r="129" spans="1:8" x14ac:dyDescent="0.25">
      <c r="A129" t="s">
        <v>1086</v>
      </c>
      <c r="B129" t="s">
        <v>1087</v>
      </c>
      <c r="C129" t="s">
        <v>1088</v>
      </c>
      <c r="D129" t="s">
        <v>1089</v>
      </c>
      <c r="E129" t="s">
        <v>1090</v>
      </c>
      <c r="F129" t="s">
        <v>1091</v>
      </c>
      <c r="G129" t="s">
        <v>1092</v>
      </c>
      <c r="H129" t="s">
        <v>1093</v>
      </c>
    </row>
    <row r="130" spans="1:8" x14ac:dyDescent="0.25">
      <c r="A130" t="s">
        <v>1094</v>
      </c>
      <c r="B130" t="s">
        <v>1095</v>
      </c>
      <c r="C130" t="s">
        <v>1096</v>
      </c>
      <c r="D130" t="s">
        <v>1097</v>
      </c>
      <c r="E130" t="s">
        <v>1098</v>
      </c>
      <c r="F130" t="s">
        <v>1099</v>
      </c>
      <c r="G130" t="s">
        <v>1100</v>
      </c>
      <c r="H130" t="s">
        <v>1101</v>
      </c>
    </row>
    <row r="131" spans="1:8" x14ac:dyDescent="0.25">
      <c r="A131" t="s">
        <v>1102</v>
      </c>
      <c r="B131" t="s">
        <v>1103</v>
      </c>
      <c r="C131" t="s">
        <v>1104</v>
      </c>
      <c r="D131" t="s">
        <v>1105</v>
      </c>
      <c r="E131" t="s">
        <v>1106</v>
      </c>
      <c r="F131" t="s">
        <v>1107</v>
      </c>
      <c r="G131" t="s">
        <v>1108</v>
      </c>
      <c r="H131" t="s">
        <v>1109</v>
      </c>
    </row>
    <row r="132" spans="1:8" x14ac:dyDescent="0.25">
      <c r="A132" t="s">
        <v>1110</v>
      </c>
      <c r="B132" t="s">
        <v>1111</v>
      </c>
      <c r="C132" t="s">
        <v>1112</v>
      </c>
      <c r="D132" t="s">
        <v>1113</v>
      </c>
      <c r="E132" t="s">
        <v>1114</v>
      </c>
      <c r="F132" t="s">
        <v>1115</v>
      </c>
      <c r="G132" t="s">
        <v>214</v>
      </c>
      <c r="H132" t="s">
        <v>1116</v>
      </c>
    </row>
    <row r="133" spans="1:8" x14ac:dyDescent="0.25">
      <c r="A133" t="s">
        <v>1117</v>
      </c>
      <c r="B133" t="s">
        <v>1118</v>
      </c>
      <c r="C133" t="s">
        <v>1119</v>
      </c>
      <c r="D133" t="s">
        <v>1120</v>
      </c>
      <c r="E133" t="s">
        <v>1121</v>
      </c>
      <c r="F133" t="s">
        <v>1122</v>
      </c>
      <c r="G133" t="s">
        <v>1123</v>
      </c>
      <c r="H133" t="s">
        <v>1124</v>
      </c>
    </row>
    <row r="134" spans="1:8" x14ac:dyDescent="0.25">
      <c r="A134" t="s">
        <v>1125</v>
      </c>
      <c r="B134" t="s">
        <v>1126</v>
      </c>
      <c r="C134" t="s">
        <v>1127</v>
      </c>
      <c r="D134" t="s">
        <v>1128</v>
      </c>
      <c r="E134" t="s">
        <v>1129</v>
      </c>
      <c r="F134" t="s">
        <v>1130</v>
      </c>
      <c r="G134" t="s">
        <v>1131</v>
      </c>
      <c r="H134" t="s">
        <v>1132</v>
      </c>
    </row>
    <row r="135" spans="1:8" x14ac:dyDescent="0.25">
      <c r="A135" t="s">
        <v>1133</v>
      </c>
      <c r="B135" t="s">
        <v>1134</v>
      </c>
      <c r="C135" t="s">
        <v>1135</v>
      </c>
      <c r="D135" t="s">
        <v>1136</v>
      </c>
      <c r="E135" t="s">
        <v>1137</v>
      </c>
      <c r="F135" t="s">
        <v>1138</v>
      </c>
      <c r="G135" t="s">
        <v>1139</v>
      </c>
      <c r="H135" t="s">
        <v>1140</v>
      </c>
    </row>
    <row r="138" spans="1:8" x14ac:dyDescent="0.25">
      <c r="A138" s="25" t="s">
        <v>1141</v>
      </c>
      <c r="B138" s="26"/>
      <c r="C138" s="26"/>
      <c r="D138" s="26"/>
      <c r="E138" s="26"/>
      <c r="F138" s="26"/>
      <c r="G138" s="26"/>
      <c r="H138" s="26"/>
    </row>
    <row r="139" spans="1:8" x14ac:dyDescent="0.25">
      <c r="A139" s="10" t="s">
        <v>627</v>
      </c>
      <c r="B139" s="10" t="s">
        <v>1142</v>
      </c>
      <c r="C139" s="10" t="s">
        <v>1003</v>
      </c>
      <c r="D139" s="10" t="s">
        <v>1143</v>
      </c>
      <c r="E139" s="10" t="s">
        <v>1144</v>
      </c>
      <c r="F139" s="10" t="s">
        <v>1028</v>
      </c>
      <c r="G139" s="10" t="s">
        <v>1145</v>
      </c>
      <c r="H139" s="10" t="s">
        <v>75</v>
      </c>
    </row>
    <row r="140" spans="1:8" x14ac:dyDescent="0.25">
      <c r="A140" t="s">
        <v>1146</v>
      </c>
      <c r="B140" t="s">
        <v>1147</v>
      </c>
      <c r="C140" t="s">
        <v>1148</v>
      </c>
      <c r="D140" t="s">
        <v>1149</v>
      </c>
      <c r="E140" t="s">
        <v>1150</v>
      </c>
      <c r="F140" t="s">
        <v>1151</v>
      </c>
      <c r="G140" t="s">
        <v>1152</v>
      </c>
      <c r="H140" t="s">
        <v>1153</v>
      </c>
    </row>
    <row r="141" spans="1:8" x14ac:dyDescent="0.25">
      <c r="A141" t="s">
        <v>1154</v>
      </c>
      <c r="B141" t="s">
        <v>1155</v>
      </c>
      <c r="C141" t="s">
        <v>1156</v>
      </c>
      <c r="D141" t="s">
        <v>1157</v>
      </c>
      <c r="E141" t="s">
        <v>1150</v>
      </c>
      <c r="F141" t="s">
        <v>1158</v>
      </c>
      <c r="G141" t="s">
        <v>1159</v>
      </c>
      <c r="H141" t="s">
        <v>1160</v>
      </c>
    </row>
    <row r="142" spans="1:8" x14ac:dyDescent="0.25">
      <c r="A142" t="s">
        <v>1161</v>
      </c>
      <c r="B142" t="s">
        <v>1162</v>
      </c>
      <c r="C142" t="s">
        <v>1163</v>
      </c>
      <c r="D142" t="s">
        <v>1164</v>
      </c>
      <c r="E142" t="s">
        <v>1150</v>
      </c>
      <c r="F142" t="s">
        <v>1165</v>
      </c>
      <c r="G142" t="s">
        <v>1166</v>
      </c>
      <c r="H142" t="s">
        <v>1167</v>
      </c>
    </row>
    <row r="143" spans="1:8" x14ac:dyDescent="0.25">
      <c r="A143" t="s">
        <v>1168</v>
      </c>
      <c r="B143" t="s">
        <v>1169</v>
      </c>
      <c r="C143" t="s">
        <v>1170</v>
      </c>
      <c r="D143" t="s">
        <v>1171</v>
      </c>
      <c r="E143" t="s">
        <v>1150</v>
      </c>
      <c r="F143" t="s">
        <v>1172</v>
      </c>
      <c r="G143" t="s">
        <v>1173</v>
      </c>
      <c r="H143" t="s">
        <v>1174</v>
      </c>
    </row>
    <row r="144" spans="1:8" x14ac:dyDescent="0.25">
      <c r="A144" t="s">
        <v>1175</v>
      </c>
      <c r="B144" t="s">
        <v>1176</v>
      </c>
      <c r="C144" t="s">
        <v>1177</v>
      </c>
      <c r="D144" t="s">
        <v>1178</v>
      </c>
      <c r="E144" t="s">
        <v>1150</v>
      </c>
      <c r="F144" t="s">
        <v>1179</v>
      </c>
      <c r="G144" t="s">
        <v>1069</v>
      </c>
      <c r="H144" t="s">
        <v>1180</v>
      </c>
    </row>
    <row r="145" spans="1:8" x14ac:dyDescent="0.25">
      <c r="A145" t="s">
        <v>1181</v>
      </c>
      <c r="B145" t="s">
        <v>1182</v>
      </c>
      <c r="C145" t="s">
        <v>1183</v>
      </c>
      <c r="D145" t="s">
        <v>1184</v>
      </c>
      <c r="E145" t="s">
        <v>214</v>
      </c>
      <c r="F145" t="s">
        <v>1185</v>
      </c>
      <c r="G145" t="s">
        <v>275</v>
      </c>
      <c r="H145" t="s">
        <v>1186</v>
      </c>
    </row>
    <row r="146" spans="1:8" x14ac:dyDescent="0.25">
      <c r="A146" t="s">
        <v>1187</v>
      </c>
      <c r="B146" t="s">
        <v>1188</v>
      </c>
      <c r="C146" t="s">
        <v>1189</v>
      </c>
      <c r="D146" t="s">
        <v>1190</v>
      </c>
      <c r="E146" t="s">
        <v>1191</v>
      </c>
      <c r="F146" t="s">
        <v>1192</v>
      </c>
      <c r="G146" t="s">
        <v>1193</v>
      </c>
      <c r="H146" t="s">
        <v>1194</v>
      </c>
    </row>
    <row r="147" spans="1:8" x14ac:dyDescent="0.25">
      <c r="A147" t="s">
        <v>1195</v>
      </c>
      <c r="B147" t="s">
        <v>625</v>
      </c>
      <c r="C147" t="s">
        <v>1196</v>
      </c>
      <c r="D147" t="s">
        <v>1197</v>
      </c>
      <c r="E147" t="s">
        <v>214</v>
      </c>
      <c r="F147" t="s">
        <v>1198</v>
      </c>
      <c r="G147" t="s">
        <v>1199</v>
      </c>
      <c r="H147" t="s">
        <v>1200</v>
      </c>
    </row>
    <row r="150" spans="1:8" x14ac:dyDescent="0.25">
      <c r="A150" s="25" t="s">
        <v>1201</v>
      </c>
      <c r="B150" s="26"/>
      <c r="C150" s="26"/>
      <c r="D150" s="26"/>
      <c r="E150" s="26"/>
      <c r="F150" s="26"/>
      <c r="G150" s="26"/>
      <c r="H150" s="26"/>
    </row>
    <row r="151" spans="1:8" ht="26.25" customHeight="1" x14ac:dyDescent="0.25">
      <c r="A151" s="10" t="s">
        <v>627</v>
      </c>
      <c r="B151" s="10" t="s">
        <v>1202</v>
      </c>
      <c r="C151" s="10" t="s">
        <v>1203</v>
      </c>
      <c r="D151" s="10" t="s">
        <v>1204</v>
      </c>
      <c r="E151" s="10" t="s">
        <v>1205</v>
      </c>
      <c r="F151" s="10" t="s">
        <v>1206</v>
      </c>
      <c r="G151" s="10" t="s">
        <v>1062</v>
      </c>
      <c r="H151" s="10" t="s">
        <v>214</v>
      </c>
    </row>
    <row r="152" spans="1:8" x14ac:dyDescent="0.25">
      <c r="A152" t="s">
        <v>1207</v>
      </c>
      <c r="B152" t="s">
        <v>1208</v>
      </c>
      <c r="C152" t="s">
        <v>1209</v>
      </c>
      <c r="D152" t="s">
        <v>1210</v>
      </c>
      <c r="E152" t="s">
        <v>1211</v>
      </c>
      <c r="F152" t="s">
        <v>1212</v>
      </c>
      <c r="G152" t="s">
        <v>1213</v>
      </c>
      <c r="H152" t="s">
        <v>1214</v>
      </c>
    </row>
    <row r="153" spans="1:8" x14ac:dyDescent="0.25">
      <c r="A153" t="s">
        <v>1215</v>
      </c>
      <c r="B153" t="s">
        <v>1216</v>
      </c>
      <c r="C153" t="s">
        <v>1217</v>
      </c>
      <c r="D153" t="s">
        <v>1218</v>
      </c>
      <c r="E153" t="s">
        <v>1219</v>
      </c>
      <c r="F153" t="s">
        <v>1212</v>
      </c>
      <c r="G153" t="s">
        <v>1220</v>
      </c>
      <c r="H153" t="s">
        <v>1214</v>
      </c>
    </row>
    <row r="154" spans="1:8" x14ac:dyDescent="0.25">
      <c r="A154" t="s">
        <v>1221</v>
      </c>
      <c r="B154" t="s">
        <v>1212</v>
      </c>
      <c r="C154" t="s">
        <v>1222</v>
      </c>
      <c r="D154" t="s">
        <v>1223</v>
      </c>
      <c r="E154" t="s">
        <v>1224</v>
      </c>
      <c r="F154" t="s">
        <v>1225</v>
      </c>
      <c r="G154" t="s">
        <v>214</v>
      </c>
      <c r="H154" t="s">
        <v>1214</v>
      </c>
    </row>
    <row r="155" spans="1:8" x14ac:dyDescent="0.25">
      <c r="A155" t="s">
        <v>1226</v>
      </c>
      <c r="B155" t="s">
        <v>1227</v>
      </c>
      <c r="C155" t="s">
        <v>1228</v>
      </c>
      <c r="D155" t="s">
        <v>1229</v>
      </c>
      <c r="E155" t="s">
        <v>1230</v>
      </c>
      <c r="F155" t="s">
        <v>1231</v>
      </c>
      <c r="G155" t="s">
        <v>1232</v>
      </c>
      <c r="H155" t="s">
        <v>1214</v>
      </c>
    </row>
    <row r="156" spans="1:8" x14ac:dyDescent="0.25">
      <c r="A156" t="s">
        <v>1233</v>
      </c>
      <c r="B156" t="s">
        <v>1234</v>
      </c>
      <c r="C156" t="s">
        <v>1235</v>
      </c>
      <c r="D156" t="s">
        <v>1236</v>
      </c>
      <c r="E156" t="s">
        <v>1237</v>
      </c>
      <c r="F156" t="s">
        <v>1238</v>
      </c>
      <c r="G156" t="s">
        <v>1232</v>
      </c>
      <c r="H156" t="s">
        <v>1214</v>
      </c>
    </row>
    <row r="157" spans="1:8" x14ac:dyDescent="0.25">
      <c r="A157" t="s">
        <v>1239</v>
      </c>
      <c r="B157" t="s">
        <v>1240</v>
      </c>
      <c r="C157" t="s">
        <v>1241</v>
      </c>
      <c r="D157" t="s">
        <v>1242</v>
      </c>
      <c r="E157" t="s">
        <v>1243</v>
      </c>
      <c r="F157" t="s">
        <v>1231</v>
      </c>
      <c r="G157" t="s">
        <v>1244</v>
      </c>
      <c r="H157" t="s">
        <v>1214</v>
      </c>
    </row>
    <row r="158" spans="1:8" x14ac:dyDescent="0.25">
      <c r="A158" t="s">
        <v>1245</v>
      </c>
      <c r="B158" t="s">
        <v>1197</v>
      </c>
      <c r="C158" t="s">
        <v>1246</v>
      </c>
      <c r="D158" t="s">
        <v>1247</v>
      </c>
      <c r="E158" t="s">
        <v>1248</v>
      </c>
      <c r="F158" t="s">
        <v>1231</v>
      </c>
      <c r="G158" t="s">
        <v>214</v>
      </c>
      <c r="H158" t="s">
        <v>1214</v>
      </c>
    </row>
    <row r="159" spans="1:8" x14ac:dyDescent="0.25">
      <c r="A159" t="s">
        <v>1249</v>
      </c>
      <c r="B159" t="s">
        <v>1231</v>
      </c>
      <c r="C159" t="s">
        <v>1250</v>
      </c>
      <c r="D159" t="s">
        <v>1251</v>
      </c>
      <c r="E159" t="s">
        <v>1252</v>
      </c>
      <c r="F159" t="s">
        <v>1253</v>
      </c>
      <c r="G159" t="s">
        <v>1254</v>
      </c>
      <c r="H159" t="s">
        <v>1214</v>
      </c>
    </row>
    <row r="162" spans="1:8" x14ac:dyDescent="0.25">
      <c r="A162" s="25" t="s">
        <v>1255</v>
      </c>
      <c r="B162" s="26"/>
      <c r="C162" s="26"/>
      <c r="D162" s="26"/>
      <c r="E162" s="26"/>
      <c r="F162" s="26"/>
      <c r="G162" s="26"/>
      <c r="H162" s="26"/>
    </row>
    <row r="163" spans="1:8" x14ac:dyDescent="0.25">
      <c r="A163" s="10" t="s">
        <v>1256</v>
      </c>
      <c r="B163" s="10" t="s">
        <v>1257</v>
      </c>
      <c r="C163" s="10" t="s">
        <v>1258</v>
      </c>
      <c r="D163" s="10" t="s">
        <v>155</v>
      </c>
      <c r="E163" s="10" t="s">
        <v>1232</v>
      </c>
      <c r="F163" s="10" t="s">
        <v>1259</v>
      </c>
      <c r="G163" s="10" t="s">
        <v>1260</v>
      </c>
      <c r="H163" s="10" t="s">
        <v>1261</v>
      </c>
    </row>
    <row r="164" spans="1:8" x14ac:dyDescent="0.25">
      <c r="A164" t="s">
        <v>1262</v>
      </c>
      <c r="B164" t="s">
        <v>1263</v>
      </c>
      <c r="C164" t="s">
        <v>1150</v>
      </c>
      <c r="D164" t="s">
        <v>1264</v>
      </c>
      <c r="E164" t="s">
        <v>1265</v>
      </c>
      <c r="F164" t="s">
        <v>1266</v>
      </c>
      <c r="G164" t="s">
        <v>1267</v>
      </c>
      <c r="H164" t="s">
        <v>228</v>
      </c>
    </row>
    <row r="165" spans="1:8" x14ac:dyDescent="0.25">
      <c r="A165" t="s">
        <v>1268</v>
      </c>
      <c r="B165" t="s">
        <v>1269</v>
      </c>
      <c r="C165" t="s">
        <v>1270</v>
      </c>
      <c r="D165" t="s">
        <v>1271</v>
      </c>
      <c r="E165" t="s">
        <v>1265</v>
      </c>
      <c r="F165" t="s">
        <v>1272</v>
      </c>
      <c r="G165" t="s">
        <v>1273</v>
      </c>
      <c r="H165" t="s">
        <v>240</v>
      </c>
    </row>
    <row r="166" spans="1:8" x14ac:dyDescent="0.25">
      <c r="A166" t="s">
        <v>1274</v>
      </c>
      <c r="B166" t="s">
        <v>1275</v>
      </c>
      <c r="C166" t="s">
        <v>1276</v>
      </c>
      <c r="D166" t="s">
        <v>1277</v>
      </c>
      <c r="E166" t="s">
        <v>1265</v>
      </c>
      <c r="F166" t="s">
        <v>1278</v>
      </c>
      <c r="G166" t="s">
        <v>1279</v>
      </c>
      <c r="H166" t="s">
        <v>258</v>
      </c>
    </row>
    <row r="167" spans="1:8" x14ac:dyDescent="0.25">
      <c r="A167" t="s">
        <v>1280</v>
      </c>
      <c r="B167" t="s">
        <v>1281</v>
      </c>
      <c r="C167" t="s">
        <v>1282</v>
      </c>
      <c r="D167" t="s">
        <v>275</v>
      </c>
      <c r="E167" t="s">
        <v>279</v>
      </c>
      <c r="F167" t="s">
        <v>1283</v>
      </c>
      <c r="G167" t="s">
        <v>1284</v>
      </c>
      <c r="H167" t="s">
        <v>254</v>
      </c>
    </row>
    <row r="168" spans="1:8" x14ac:dyDescent="0.25">
      <c r="A168" t="s">
        <v>1285</v>
      </c>
      <c r="B168" t="s">
        <v>1286</v>
      </c>
      <c r="C168" t="s">
        <v>1287</v>
      </c>
      <c r="D168" t="s">
        <v>451</v>
      </c>
      <c r="E168" t="s">
        <v>1265</v>
      </c>
      <c r="F168" t="s">
        <v>1288</v>
      </c>
      <c r="G168" t="s">
        <v>1273</v>
      </c>
      <c r="H168" t="s">
        <v>1289</v>
      </c>
    </row>
    <row r="169" spans="1:8" x14ac:dyDescent="0.25">
      <c r="A169" t="s">
        <v>717</v>
      </c>
      <c r="B169" t="s">
        <v>1290</v>
      </c>
      <c r="C169" t="s">
        <v>1291</v>
      </c>
      <c r="D169" t="s">
        <v>1292</v>
      </c>
      <c r="E169" t="s">
        <v>1265</v>
      </c>
      <c r="F169" t="s">
        <v>1293</v>
      </c>
      <c r="G169" t="s">
        <v>1294</v>
      </c>
      <c r="H169" t="s">
        <v>1295</v>
      </c>
    </row>
    <row r="170" spans="1:8" x14ac:dyDescent="0.25">
      <c r="A170" t="s">
        <v>1296</v>
      </c>
      <c r="B170" t="s">
        <v>1297</v>
      </c>
      <c r="C170" t="s">
        <v>1298</v>
      </c>
      <c r="D170" t="s">
        <v>1299</v>
      </c>
      <c r="E170" t="s">
        <v>1265</v>
      </c>
      <c r="F170" t="s">
        <v>1297</v>
      </c>
      <c r="G170" t="s">
        <v>1300</v>
      </c>
      <c r="H170" t="s">
        <v>1301</v>
      </c>
    </row>
    <row r="171" spans="1:8" x14ac:dyDescent="0.25">
      <c r="A171" t="s">
        <v>1302</v>
      </c>
      <c r="B171" t="s">
        <v>1303</v>
      </c>
      <c r="C171" t="s">
        <v>1304</v>
      </c>
      <c r="D171" t="s">
        <v>1305</v>
      </c>
      <c r="E171" t="s">
        <v>1265</v>
      </c>
      <c r="F171" t="s">
        <v>1306</v>
      </c>
      <c r="G171" t="s">
        <v>1267</v>
      </c>
      <c r="H171" t="s">
        <v>1307</v>
      </c>
    </row>
    <row r="172" spans="1:8" x14ac:dyDescent="0.25">
      <c r="A172" t="s">
        <v>1308</v>
      </c>
      <c r="B172" t="s">
        <v>1309</v>
      </c>
      <c r="C172" t="s">
        <v>1310</v>
      </c>
      <c r="D172" t="s">
        <v>1264</v>
      </c>
      <c r="E172" t="s">
        <v>1265</v>
      </c>
      <c r="F172" t="s">
        <v>1288</v>
      </c>
      <c r="G172" t="s">
        <v>1311</v>
      </c>
      <c r="H172" t="s">
        <v>1312</v>
      </c>
    </row>
    <row r="173" spans="1:8" x14ac:dyDescent="0.25">
      <c r="A173" t="s">
        <v>1313</v>
      </c>
      <c r="B173" t="s">
        <v>1314</v>
      </c>
      <c r="C173" t="s">
        <v>1315</v>
      </c>
      <c r="D173" t="s">
        <v>1316</v>
      </c>
      <c r="E173" t="s">
        <v>279</v>
      </c>
      <c r="F173" t="s">
        <v>1317</v>
      </c>
      <c r="G173" t="s">
        <v>1284</v>
      </c>
      <c r="H173" t="s">
        <v>1318</v>
      </c>
    </row>
    <row r="176" spans="1:8" x14ac:dyDescent="0.25">
      <c r="A176" s="25" t="s">
        <v>1319</v>
      </c>
      <c r="B176" s="26"/>
      <c r="C176" s="26"/>
      <c r="D176" s="26"/>
      <c r="E176" s="26"/>
      <c r="F176" s="26"/>
      <c r="G176" s="26"/>
      <c r="H176" s="26"/>
    </row>
    <row r="177" spans="1:8" x14ac:dyDescent="0.25">
      <c r="A177" s="10" t="s">
        <v>627</v>
      </c>
      <c r="B177" s="10" t="s">
        <v>1320</v>
      </c>
      <c r="C177" s="10" t="s">
        <v>900</v>
      </c>
      <c r="D177" s="10" t="s">
        <v>718</v>
      </c>
      <c r="E177" s="10" t="s">
        <v>631</v>
      </c>
      <c r="F177" s="10" t="s">
        <v>524</v>
      </c>
      <c r="G177" s="10" t="s">
        <v>155</v>
      </c>
      <c r="H177" s="10" t="s">
        <v>214</v>
      </c>
    </row>
    <row r="178" spans="1:8" x14ac:dyDescent="0.25">
      <c r="A178" t="s">
        <v>1535</v>
      </c>
      <c r="B178" t="s">
        <v>1321</v>
      </c>
      <c r="C178" t="s">
        <v>1322</v>
      </c>
      <c r="D178" t="s">
        <v>780</v>
      </c>
      <c r="E178" t="s">
        <v>781</v>
      </c>
      <c r="F178" t="s">
        <v>1323</v>
      </c>
      <c r="G178" t="s">
        <v>1324</v>
      </c>
      <c r="H178" t="s">
        <v>1325</v>
      </c>
    </row>
    <row r="179" spans="1:8" x14ac:dyDescent="0.25">
      <c r="A179" t="s">
        <v>1534</v>
      </c>
      <c r="B179" t="s">
        <v>1326</v>
      </c>
      <c r="C179" t="s">
        <v>1327</v>
      </c>
      <c r="D179" t="s">
        <v>773</v>
      </c>
      <c r="E179" t="s">
        <v>781</v>
      </c>
      <c r="F179" t="s">
        <v>858</v>
      </c>
      <c r="G179" t="s">
        <v>1328</v>
      </c>
      <c r="H179" t="s">
        <v>1329</v>
      </c>
    </row>
    <row r="180" spans="1:8" x14ac:dyDescent="0.25">
      <c r="A180" t="s">
        <v>1536</v>
      </c>
      <c r="B180" t="s">
        <v>1330</v>
      </c>
      <c r="C180" t="s">
        <v>1331</v>
      </c>
      <c r="D180" t="s">
        <v>752</v>
      </c>
      <c r="E180" t="s">
        <v>725</v>
      </c>
      <c r="F180" t="s">
        <v>712</v>
      </c>
      <c r="G180" t="s">
        <v>1332</v>
      </c>
      <c r="H180" t="s">
        <v>1333</v>
      </c>
    </row>
    <row r="181" spans="1:8" x14ac:dyDescent="0.25">
      <c r="A181" t="s">
        <v>1533</v>
      </c>
      <c r="B181" t="s">
        <v>1334</v>
      </c>
      <c r="C181" t="s">
        <v>1335</v>
      </c>
      <c r="D181" t="s">
        <v>1336</v>
      </c>
      <c r="E181" t="s">
        <v>781</v>
      </c>
      <c r="F181" t="s">
        <v>1323</v>
      </c>
      <c r="G181" t="s">
        <v>1337</v>
      </c>
      <c r="H181" t="s">
        <v>1325</v>
      </c>
    </row>
    <row r="182" spans="1:8" x14ac:dyDescent="0.25">
      <c r="A182" t="s">
        <v>1524</v>
      </c>
      <c r="B182" t="s">
        <v>1338</v>
      </c>
      <c r="C182" t="s">
        <v>1339</v>
      </c>
      <c r="D182" t="s">
        <v>752</v>
      </c>
      <c r="E182" t="s">
        <v>725</v>
      </c>
      <c r="F182" t="s">
        <v>712</v>
      </c>
      <c r="G182" t="s">
        <v>1340</v>
      </c>
      <c r="H182" t="s">
        <v>1341</v>
      </c>
    </row>
    <row r="183" spans="1:8" x14ac:dyDescent="0.25">
      <c r="A183" t="s">
        <v>1525</v>
      </c>
      <c r="B183" t="s">
        <v>1342</v>
      </c>
      <c r="C183" t="s">
        <v>1343</v>
      </c>
      <c r="D183" t="s">
        <v>561</v>
      </c>
      <c r="E183" t="s">
        <v>681</v>
      </c>
      <c r="F183" t="s">
        <v>890</v>
      </c>
      <c r="G183" t="s">
        <v>1344</v>
      </c>
      <c r="H183" t="s">
        <v>1345</v>
      </c>
    </row>
    <row r="184" spans="1:8" x14ac:dyDescent="0.25">
      <c r="A184" t="s">
        <v>1526</v>
      </c>
      <c r="B184" t="s">
        <v>1346</v>
      </c>
      <c r="C184" t="s">
        <v>1347</v>
      </c>
      <c r="D184" t="s">
        <v>864</v>
      </c>
      <c r="E184" t="s">
        <v>746</v>
      </c>
      <c r="F184" t="s">
        <v>654</v>
      </c>
      <c r="G184" t="s">
        <v>1348</v>
      </c>
      <c r="H184" t="s">
        <v>1333</v>
      </c>
    </row>
    <row r="185" spans="1:8" x14ac:dyDescent="0.25">
      <c r="A185" t="s">
        <v>1527</v>
      </c>
      <c r="B185" t="s">
        <v>1349</v>
      </c>
      <c r="C185" t="s">
        <v>1335</v>
      </c>
      <c r="D185" t="s">
        <v>780</v>
      </c>
      <c r="E185" t="s">
        <v>781</v>
      </c>
      <c r="F185" t="s">
        <v>1323</v>
      </c>
      <c r="G185" t="s">
        <v>1350</v>
      </c>
      <c r="H185" t="s">
        <v>1325</v>
      </c>
    </row>
    <row r="186" spans="1:8" x14ac:dyDescent="0.25">
      <c r="A186" t="s">
        <v>1528</v>
      </c>
      <c r="B186" t="s">
        <v>1351</v>
      </c>
      <c r="C186" t="s">
        <v>1352</v>
      </c>
      <c r="D186" t="s">
        <v>1353</v>
      </c>
      <c r="E186" t="s">
        <v>1354</v>
      </c>
      <c r="F186" t="s">
        <v>1355</v>
      </c>
      <c r="G186" t="s">
        <v>1356</v>
      </c>
      <c r="H186" t="s">
        <v>1357</v>
      </c>
    </row>
    <row r="187" spans="1:8" x14ac:dyDescent="0.25">
      <c r="A187" t="s">
        <v>1529</v>
      </c>
      <c r="B187" t="s">
        <v>1358</v>
      </c>
      <c r="C187" t="s">
        <v>1359</v>
      </c>
      <c r="D187" t="s">
        <v>1360</v>
      </c>
      <c r="E187" t="s">
        <v>746</v>
      </c>
      <c r="F187" t="s">
        <v>890</v>
      </c>
      <c r="G187" t="s">
        <v>1361</v>
      </c>
      <c r="H187" t="s">
        <v>1362</v>
      </c>
    </row>
    <row r="188" spans="1:8" x14ac:dyDescent="0.25">
      <c r="A188" t="s">
        <v>1530</v>
      </c>
      <c r="B188" t="s">
        <v>1363</v>
      </c>
      <c r="C188" t="s">
        <v>1364</v>
      </c>
      <c r="D188" t="s">
        <v>752</v>
      </c>
      <c r="E188" t="s">
        <v>725</v>
      </c>
      <c r="F188" t="s">
        <v>712</v>
      </c>
      <c r="G188" t="s">
        <v>1365</v>
      </c>
      <c r="H188" t="s">
        <v>1333</v>
      </c>
    </row>
    <row r="189" spans="1:8" x14ac:dyDescent="0.25">
      <c r="A189" s="2" t="s">
        <v>1537</v>
      </c>
      <c r="B189" s="2" t="s">
        <v>1494</v>
      </c>
      <c r="C189" s="2" t="s">
        <v>1495</v>
      </c>
      <c r="D189" s="2" t="s">
        <v>1496</v>
      </c>
      <c r="E189" s="2"/>
    </row>
    <row r="191" spans="1:8" x14ac:dyDescent="0.25">
      <c r="A191" s="25" t="s">
        <v>1366</v>
      </c>
      <c r="B191" s="26"/>
      <c r="C191" s="26"/>
      <c r="D191" s="26"/>
      <c r="E191" s="26"/>
      <c r="F191" s="26"/>
      <c r="G191" s="26"/>
      <c r="H191" s="26"/>
    </row>
    <row r="192" spans="1:8" x14ac:dyDescent="0.25">
      <c r="A192" s="10" t="s">
        <v>71</v>
      </c>
      <c r="B192" s="10" t="s">
        <v>74</v>
      </c>
      <c r="C192" s="10" t="s">
        <v>1367</v>
      </c>
      <c r="D192" s="10" t="s">
        <v>1368</v>
      </c>
      <c r="E192" s="10" t="s">
        <v>1369</v>
      </c>
      <c r="F192" s="10" t="s">
        <v>1370</v>
      </c>
      <c r="G192" s="10" t="s">
        <v>1371</v>
      </c>
      <c r="H192" s="10" t="s">
        <v>1372</v>
      </c>
    </row>
    <row r="193" spans="1:8" x14ac:dyDescent="0.25">
      <c r="A193" t="s">
        <v>1373</v>
      </c>
      <c r="B193" t="s">
        <v>433</v>
      </c>
      <c r="C193" t="s">
        <v>1374</v>
      </c>
      <c r="D193" t="s">
        <v>1374</v>
      </c>
      <c r="E193" t="s">
        <v>1375</v>
      </c>
      <c r="F193" t="s">
        <v>1376</v>
      </c>
      <c r="G193" t="s">
        <v>1377</v>
      </c>
      <c r="H193" t="s">
        <v>1378</v>
      </c>
    </row>
    <row r="194" spans="1:8" x14ac:dyDescent="0.25">
      <c r="A194" t="s">
        <v>1379</v>
      </c>
      <c r="B194" t="s">
        <v>1380</v>
      </c>
      <c r="C194" t="s">
        <v>1381</v>
      </c>
      <c r="D194" t="s">
        <v>1381</v>
      </c>
      <c r="E194" t="s">
        <v>1382</v>
      </c>
      <c r="F194" t="s">
        <v>1383</v>
      </c>
      <c r="G194" t="s">
        <v>1384</v>
      </c>
      <c r="H194" t="s">
        <v>1385</v>
      </c>
    </row>
    <row r="195" spans="1:8" x14ac:dyDescent="0.25">
      <c r="A195" t="s">
        <v>1386</v>
      </c>
      <c r="B195" t="s">
        <v>1387</v>
      </c>
      <c r="C195" t="s">
        <v>1388</v>
      </c>
      <c r="D195" t="s">
        <v>1388</v>
      </c>
      <c r="E195" t="s">
        <v>1389</v>
      </c>
      <c r="F195" t="s">
        <v>1371</v>
      </c>
      <c r="G195" t="s">
        <v>1390</v>
      </c>
      <c r="H195" t="s">
        <v>1391</v>
      </c>
    </row>
    <row r="196" spans="1:8" x14ac:dyDescent="0.25">
      <c r="A196" t="s">
        <v>1392</v>
      </c>
      <c r="B196" t="s">
        <v>1393</v>
      </c>
      <c r="C196" t="s">
        <v>580</v>
      </c>
      <c r="D196" t="s">
        <v>580</v>
      </c>
      <c r="E196" t="s">
        <v>1394</v>
      </c>
      <c r="F196" t="s">
        <v>1395</v>
      </c>
      <c r="G196" t="s">
        <v>1390</v>
      </c>
      <c r="H196" t="s">
        <v>1396</v>
      </c>
    </row>
    <row r="197" spans="1:8" x14ac:dyDescent="0.25">
      <c r="A197" t="s">
        <v>1397</v>
      </c>
      <c r="B197" t="s">
        <v>1393</v>
      </c>
      <c r="C197" t="s">
        <v>580</v>
      </c>
      <c r="D197" t="s">
        <v>580</v>
      </c>
      <c r="E197" t="s">
        <v>1398</v>
      </c>
      <c r="F197" t="s">
        <v>1399</v>
      </c>
      <c r="G197" t="s">
        <v>1400</v>
      </c>
      <c r="H197" t="s">
        <v>1396</v>
      </c>
    </row>
    <row r="198" spans="1:8" x14ac:dyDescent="0.25">
      <c r="A198" t="s">
        <v>1401</v>
      </c>
      <c r="B198" t="s">
        <v>1387</v>
      </c>
      <c r="C198" t="s">
        <v>1402</v>
      </c>
      <c r="D198" t="s">
        <v>1402</v>
      </c>
      <c r="E198" t="s">
        <v>1403</v>
      </c>
      <c r="F198" t="s">
        <v>1404</v>
      </c>
      <c r="G198" t="s">
        <v>1405</v>
      </c>
      <c r="H198" t="s">
        <v>1406</v>
      </c>
    </row>
    <row r="199" spans="1:8" x14ac:dyDescent="0.25">
      <c r="A199" t="s">
        <v>1407</v>
      </c>
      <c r="B199" t="s">
        <v>1387</v>
      </c>
      <c r="C199" t="s">
        <v>1408</v>
      </c>
      <c r="D199" t="s">
        <v>1408</v>
      </c>
      <c r="E199" t="s">
        <v>1409</v>
      </c>
      <c r="F199" t="s">
        <v>1410</v>
      </c>
      <c r="G199" t="s">
        <v>1411</v>
      </c>
      <c r="H199" t="s">
        <v>1412</v>
      </c>
    </row>
    <row r="200" spans="1:8" x14ac:dyDescent="0.25">
      <c r="A200" t="s">
        <v>1413</v>
      </c>
      <c r="B200" t="s">
        <v>1387</v>
      </c>
      <c r="C200" t="s">
        <v>1414</v>
      </c>
      <c r="D200" t="s">
        <v>1414</v>
      </c>
      <c r="E200" t="s">
        <v>1415</v>
      </c>
      <c r="F200" t="s">
        <v>1416</v>
      </c>
      <c r="G200" t="s">
        <v>1417</v>
      </c>
      <c r="H200" t="s">
        <v>1418</v>
      </c>
    </row>
    <row r="201" spans="1:8" x14ac:dyDescent="0.25">
      <c r="A201" t="s">
        <v>1419</v>
      </c>
      <c r="B201" t="s">
        <v>1387</v>
      </c>
      <c r="C201" t="s">
        <v>1420</v>
      </c>
      <c r="D201" t="s">
        <v>1420</v>
      </c>
      <c r="E201" t="s">
        <v>1421</v>
      </c>
      <c r="F201" t="s">
        <v>1422</v>
      </c>
      <c r="G201" t="s">
        <v>1423</v>
      </c>
      <c r="H201" t="s">
        <v>1406</v>
      </c>
    </row>
    <row r="202" spans="1:8" x14ac:dyDescent="0.25">
      <c r="A202" t="s">
        <v>1424</v>
      </c>
      <c r="B202" t="s">
        <v>1387</v>
      </c>
      <c r="C202" t="s">
        <v>1425</v>
      </c>
      <c r="D202" t="s">
        <v>1425</v>
      </c>
      <c r="E202" t="s">
        <v>1426</v>
      </c>
      <c r="F202" t="s">
        <v>1427</v>
      </c>
      <c r="G202" t="s">
        <v>1428</v>
      </c>
      <c r="H202" t="s">
        <v>1429</v>
      </c>
    </row>
    <row r="205" spans="1:8" x14ac:dyDescent="0.25">
      <c r="A205" s="25" t="s">
        <v>1430</v>
      </c>
      <c r="B205" s="26"/>
      <c r="C205" s="26"/>
      <c r="D205" s="26"/>
      <c r="E205" s="26"/>
      <c r="F205" s="26"/>
      <c r="G205" s="26"/>
      <c r="H205" s="26"/>
    </row>
    <row r="206" spans="1:8" x14ac:dyDescent="0.25">
      <c r="A206" s="10" t="s">
        <v>214</v>
      </c>
      <c r="B206" s="10" t="s">
        <v>1431</v>
      </c>
      <c r="C206" s="10" t="s">
        <v>1432</v>
      </c>
      <c r="D206" s="10" t="s">
        <v>1433</v>
      </c>
      <c r="E206" s="10" t="s">
        <v>1232</v>
      </c>
      <c r="F206" s="10" t="s">
        <v>155</v>
      </c>
      <c r="G206" s="10" t="s">
        <v>1005</v>
      </c>
      <c r="H206" s="10" t="s">
        <v>75</v>
      </c>
    </row>
    <row r="207" spans="1:8" x14ac:dyDescent="0.25">
      <c r="A207" t="s">
        <v>281</v>
      </c>
      <c r="B207" t="s">
        <v>1434</v>
      </c>
      <c r="C207" t="s">
        <v>1435</v>
      </c>
      <c r="D207" t="s">
        <v>1436</v>
      </c>
      <c r="E207" t="s">
        <v>1265</v>
      </c>
      <c r="F207" t="s">
        <v>1437</v>
      </c>
      <c r="G207" t="s">
        <v>1013</v>
      </c>
      <c r="H207" t="s">
        <v>1438</v>
      </c>
    </row>
    <row r="208" spans="1:8" x14ac:dyDescent="0.25">
      <c r="A208" t="s">
        <v>290</v>
      </c>
      <c r="B208" t="s">
        <v>1439</v>
      </c>
      <c r="C208" t="s">
        <v>1440</v>
      </c>
      <c r="D208" t="s">
        <v>1436</v>
      </c>
      <c r="E208" t="s">
        <v>1265</v>
      </c>
      <c r="F208" t="s">
        <v>1441</v>
      </c>
      <c r="G208" t="s">
        <v>1013</v>
      </c>
      <c r="H208" t="s">
        <v>1442</v>
      </c>
    </row>
    <row r="209" spans="1:8" x14ac:dyDescent="0.25">
      <c r="A209" t="s">
        <v>391</v>
      </c>
      <c r="B209" t="s">
        <v>1443</v>
      </c>
      <c r="C209" t="s">
        <v>1444</v>
      </c>
      <c r="D209" t="s">
        <v>1436</v>
      </c>
      <c r="E209" t="s">
        <v>1265</v>
      </c>
      <c r="F209" t="s">
        <v>1445</v>
      </c>
      <c r="G209" t="s">
        <v>1013</v>
      </c>
      <c r="H209" t="s">
        <v>1446</v>
      </c>
    </row>
    <row r="210" spans="1:8" x14ac:dyDescent="0.25">
      <c r="A210" t="s">
        <v>585</v>
      </c>
      <c r="B210" t="s">
        <v>1447</v>
      </c>
      <c r="C210" t="s">
        <v>1448</v>
      </c>
      <c r="D210" t="s">
        <v>1261</v>
      </c>
      <c r="E210" t="s">
        <v>1449</v>
      </c>
      <c r="F210" t="s">
        <v>1008</v>
      </c>
      <c r="G210" t="s">
        <v>1013</v>
      </c>
      <c r="H210" t="s">
        <v>1450</v>
      </c>
    </row>
    <row r="211" spans="1:8" x14ac:dyDescent="0.25">
      <c r="A211" t="s">
        <v>1341</v>
      </c>
      <c r="B211" t="s">
        <v>1451</v>
      </c>
      <c r="C211" t="s">
        <v>1435</v>
      </c>
      <c r="D211" t="s">
        <v>1436</v>
      </c>
      <c r="E211" t="s">
        <v>1265</v>
      </c>
      <c r="F211" t="s">
        <v>1452</v>
      </c>
      <c r="G211" t="s">
        <v>1013</v>
      </c>
      <c r="H211" t="s">
        <v>1453</v>
      </c>
    </row>
    <row r="212" spans="1:8" x14ac:dyDescent="0.25">
      <c r="A212" t="s">
        <v>749</v>
      </c>
      <c r="B212" t="s">
        <v>1454</v>
      </c>
      <c r="C212" t="s">
        <v>1455</v>
      </c>
      <c r="D212" t="s">
        <v>1436</v>
      </c>
      <c r="E212" t="s">
        <v>1265</v>
      </c>
      <c r="F212" t="s">
        <v>1456</v>
      </c>
      <c r="G212" t="s">
        <v>1013</v>
      </c>
      <c r="H212" t="s">
        <v>1457</v>
      </c>
    </row>
    <row r="213" spans="1:8" x14ac:dyDescent="0.25">
      <c r="A213" t="s">
        <v>760</v>
      </c>
      <c r="B213" t="s">
        <v>1458</v>
      </c>
      <c r="C213" t="s">
        <v>1459</v>
      </c>
      <c r="D213" t="s">
        <v>1436</v>
      </c>
      <c r="E213" t="s">
        <v>1265</v>
      </c>
      <c r="F213" t="s">
        <v>1460</v>
      </c>
      <c r="G213" t="s">
        <v>1013</v>
      </c>
      <c r="H213" t="s">
        <v>1461</v>
      </c>
    </row>
    <row r="214" spans="1:8" x14ac:dyDescent="0.25">
      <c r="A214" t="s">
        <v>1214</v>
      </c>
      <c r="B214" t="s">
        <v>1462</v>
      </c>
      <c r="C214" t="s">
        <v>1463</v>
      </c>
      <c r="D214" t="s">
        <v>1213</v>
      </c>
      <c r="E214" t="s">
        <v>1449</v>
      </c>
      <c r="F214" t="s">
        <v>1464</v>
      </c>
      <c r="G214" t="s">
        <v>1013</v>
      </c>
      <c r="H214" t="s">
        <v>1465</v>
      </c>
    </row>
    <row r="215" spans="1:8" x14ac:dyDescent="0.25">
      <c r="A215" t="s">
        <v>682</v>
      </c>
      <c r="B215" t="s">
        <v>1466</v>
      </c>
      <c r="C215" t="s">
        <v>1467</v>
      </c>
      <c r="D215" t="s">
        <v>1436</v>
      </c>
      <c r="E215" t="s">
        <v>1265</v>
      </c>
      <c r="F215" t="s">
        <v>239</v>
      </c>
      <c r="G215" t="s">
        <v>1013</v>
      </c>
      <c r="H215" t="s">
        <v>1468</v>
      </c>
    </row>
    <row r="216" spans="1:8" x14ac:dyDescent="0.25">
      <c r="A216" t="s">
        <v>755</v>
      </c>
      <c r="B216" t="s">
        <v>1469</v>
      </c>
      <c r="C216" t="s">
        <v>1467</v>
      </c>
      <c r="D216" t="s">
        <v>1261</v>
      </c>
      <c r="E216" t="s">
        <v>1449</v>
      </c>
      <c r="F216" t="s">
        <v>1470</v>
      </c>
      <c r="G216" t="s">
        <v>1471</v>
      </c>
      <c r="H216" t="s">
        <v>1472</v>
      </c>
    </row>
    <row r="219" spans="1:8" ht="15.75" customHeight="1" x14ac:dyDescent="0.25">
      <c r="A219" s="3" t="s">
        <v>1473</v>
      </c>
    </row>
    <row r="220" spans="1:8" x14ac:dyDescent="0.25">
      <c r="A220" s="6" t="s">
        <v>627</v>
      </c>
      <c r="B220" s="6" t="s">
        <v>524</v>
      </c>
      <c r="C220" s="6" t="s">
        <v>155</v>
      </c>
      <c r="D220" s="6" t="s">
        <v>1474</v>
      </c>
      <c r="E220" s="6" t="s">
        <v>214</v>
      </c>
    </row>
    <row r="221" spans="1:8" x14ac:dyDescent="0.25">
      <c r="A221" s="2" t="s">
        <v>771</v>
      </c>
      <c r="B221" s="2" t="s">
        <v>1475</v>
      </c>
      <c r="C221" s="2" t="s">
        <v>1476</v>
      </c>
      <c r="D221" s="2" t="s">
        <v>1477</v>
      </c>
      <c r="E221" s="2" t="s">
        <v>1478</v>
      </c>
    </row>
    <row r="222" spans="1:8" x14ac:dyDescent="0.25">
      <c r="A222" s="2" t="s">
        <v>750</v>
      </c>
      <c r="B222" s="2" t="s">
        <v>750</v>
      </c>
      <c r="C222" s="2" t="s">
        <v>1479</v>
      </c>
      <c r="D222" s="2" t="s">
        <v>1480</v>
      </c>
      <c r="E222" s="2" t="s">
        <v>755</v>
      </c>
    </row>
    <row r="223" spans="1:8" x14ac:dyDescent="0.25">
      <c r="A223" s="2" t="s">
        <v>1531</v>
      </c>
      <c r="B223" s="2" t="s">
        <v>1481</v>
      </c>
      <c r="C223" s="2" t="s">
        <v>1479</v>
      </c>
      <c r="D223" s="2" t="s">
        <v>1482</v>
      </c>
      <c r="E223" s="2" t="s">
        <v>281</v>
      </c>
    </row>
    <row r="224" spans="1:8" x14ac:dyDescent="0.25">
      <c r="A224" s="2" t="s">
        <v>756</v>
      </c>
      <c r="B224" s="2" t="s">
        <v>756</v>
      </c>
      <c r="C224" s="2" t="s">
        <v>1483</v>
      </c>
      <c r="D224" s="2" t="s">
        <v>1484</v>
      </c>
      <c r="E224" s="2" t="s">
        <v>760</v>
      </c>
    </row>
    <row r="225" spans="1:5" x14ac:dyDescent="0.25">
      <c r="A225" s="2" t="s">
        <v>529</v>
      </c>
      <c r="B225" s="2" t="s">
        <v>1485</v>
      </c>
      <c r="C225" s="2" t="s">
        <v>1486</v>
      </c>
      <c r="D225" s="2" t="s">
        <v>1487</v>
      </c>
      <c r="E225" s="2" t="s">
        <v>749</v>
      </c>
    </row>
    <row r="226" spans="1:5" x14ac:dyDescent="0.25">
      <c r="A226" s="2" t="s">
        <v>545</v>
      </c>
      <c r="B226" s="2" t="s">
        <v>784</v>
      </c>
      <c r="C226" s="2" t="s">
        <v>291</v>
      </c>
      <c r="D226" s="2" t="s">
        <v>1488</v>
      </c>
      <c r="E226" s="2" t="s">
        <v>1489</v>
      </c>
    </row>
    <row r="227" spans="1:5" x14ac:dyDescent="0.25">
      <c r="A227" s="2" t="s">
        <v>1532</v>
      </c>
      <c r="B227" s="2" t="s">
        <v>1490</v>
      </c>
      <c r="C227" s="2" t="s">
        <v>1491</v>
      </c>
      <c r="D227" s="2" t="s">
        <v>1492</v>
      </c>
      <c r="E227" s="2" t="s">
        <v>1493</v>
      </c>
    </row>
    <row r="229" spans="1:5" ht="15.75" customHeight="1" x14ac:dyDescent="0.25">
      <c r="A229" s="1" t="s">
        <v>1497</v>
      </c>
    </row>
    <row r="230" spans="1:5" x14ac:dyDescent="0.25">
      <c r="A230" s="6" t="s">
        <v>214</v>
      </c>
      <c r="B230" s="6" t="s">
        <v>1498</v>
      </c>
      <c r="C230" s="6" t="s">
        <v>155</v>
      </c>
      <c r="D230" s="6" t="s">
        <v>1499</v>
      </c>
    </row>
    <row r="231" spans="1:5" x14ac:dyDescent="0.25">
      <c r="A231" s="2" t="s">
        <v>281</v>
      </c>
      <c r="B231" s="2" t="s">
        <v>1500</v>
      </c>
      <c r="C231" s="2" t="s">
        <v>1501</v>
      </c>
      <c r="D231" s="2" t="s">
        <v>1502</v>
      </c>
    </row>
    <row r="232" spans="1:5" x14ac:dyDescent="0.25">
      <c r="A232" s="2" t="s">
        <v>290</v>
      </c>
      <c r="B232" s="2" t="s">
        <v>1503</v>
      </c>
      <c r="C232" s="2" t="s">
        <v>1504</v>
      </c>
      <c r="D232" s="2" t="s">
        <v>1502</v>
      </c>
    </row>
    <row r="233" spans="1:5" x14ac:dyDescent="0.25">
      <c r="A233" s="2" t="s">
        <v>749</v>
      </c>
      <c r="B233" s="2" t="s">
        <v>1505</v>
      </c>
      <c r="C233" s="2" t="s">
        <v>1506</v>
      </c>
      <c r="D233" s="2" t="s">
        <v>1502</v>
      </c>
    </row>
    <row r="234" spans="1:5" x14ac:dyDescent="0.25">
      <c r="A234" s="2" t="s">
        <v>1507</v>
      </c>
      <c r="B234" s="2" t="s">
        <v>1508</v>
      </c>
      <c r="C234" s="2" t="s">
        <v>1509</v>
      </c>
      <c r="D234" s="2" t="s">
        <v>1510</v>
      </c>
    </row>
    <row r="235" spans="1:5" x14ac:dyDescent="0.25">
      <c r="A235" s="2" t="s">
        <v>1511</v>
      </c>
      <c r="B235" s="2" t="s">
        <v>1512</v>
      </c>
      <c r="C235" s="2" t="s">
        <v>1513</v>
      </c>
      <c r="D235" s="2" t="s">
        <v>1514</v>
      </c>
    </row>
    <row r="236" spans="1:5" x14ac:dyDescent="0.25">
      <c r="A236" s="2" t="s">
        <v>225</v>
      </c>
      <c r="B236" s="2" t="s">
        <v>1515</v>
      </c>
      <c r="C236" s="2" t="s">
        <v>1516</v>
      </c>
      <c r="D236" s="2" t="s">
        <v>1232</v>
      </c>
    </row>
    <row r="237" spans="1:5" x14ac:dyDescent="0.25">
      <c r="A237" s="2" t="s">
        <v>1517</v>
      </c>
      <c r="B237" s="2" t="s">
        <v>1518</v>
      </c>
      <c r="C237" s="2" t="s">
        <v>1519</v>
      </c>
      <c r="D237" s="2" t="s">
        <v>1520</v>
      </c>
    </row>
    <row r="238" spans="1:5" x14ac:dyDescent="0.25">
      <c r="A238" s="2" t="s">
        <v>1521</v>
      </c>
      <c r="B238" s="2" t="s">
        <v>1522</v>
      </c>
      <c r="C238" s="2" t="s">
        <v>1523</v>
      </c>
      <c r="D238" s="2" t="s">
        <v>279</v>
      </c>
    </row>
  </sheetData>
  <mergeCells count="17">
    <mergeCell ref="A205:H205"/>
    <mergeCell ref="A1:I1"/>
    <mergeCell ref="A191:H191"/>
    <mergeCell ref="A112:H112"/>
    <mergeCell ref="A70:I70"/>
    <mergeCell ref="A138:H138"/>
    <mergeCell ref="A150:H150"/>
    <mergeCell ref="A110:H110"/>
    <mergeCell ref="A4:I4"/>
    <mergeCell ref="A92:I92"/>
    <mergeCell ref="A35:I35"/>
    <mergeCell ref="A176:H176"/>
    <mergeCell ref="A162:H162"/>
    <mergeCell ref="A2:I2"/>
    <mergeCell ref="A124:H124"/>
    <mergeCell ref="A109:H109"/>
    <mergeCell ref="A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FIXTURE CALCULATIONS</vt:lpstr>
      <vt:lpstr>PLUMBING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Sting Davis</cp:lastModifiedBy>
  <dcterms:created xsi:type="dcterms:W3CDTF">2025-11-14T04:14:05Z</dcterms:created>
  <dcterms:modified xsi:type="dcterms:W3CDTF">2025-11-14T08:34:47Z</dcterms:modified>
</cp:coreProperties>
</file>