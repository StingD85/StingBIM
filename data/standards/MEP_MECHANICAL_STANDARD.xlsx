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EP_Template_Development\01_EXCEL_TEMPLATES\"/>
    </mc:Choice>
  </mc:AlternateContent>
  <xr:revisionPtr revIDLastSave="0" documentId="13_ncr:1_{97DB9421-90D5-4EA3-9273-E8F7C5F53427}" xr6:coauthVersionLast="47" xr6:coauthVersionMax="47" xr10:uidLastSave="{00000000-0000-0000-0000-000000000000}"/>
  <bookViews>
    <workbookView xWindow="-120" yWindow="-120" windowWidth="29040" windowHeight="15720" tabRatio="805" xr2:uid="{00000000-000D-0000-FFFF-FFFF00000000}"/>
  </bookViews>
  <sheets>
    <sheet name="ISO 16484-MECHANICAL" sheetId="1" r:id="rId1"/>
    <sheet name="BMS CONTROLS DATA, TELE" sheetId="2" r:id="rId2"/>
    <sheet name="FIRE PROTECTION-NFPA" sheetId="3" r:id="rId3"/>
  </sheets>
  <calcPr calcId="181029"/>
</workbook>
</file>

<file path=xl/calcChain.xml><?xml version="1.0" encoding="utf-8"?>
<calcChain xmlns="http://schemas.openxmlformats.org/spreadsheetml/2006/main">
  <c r="E9" i="3" l="1"/>
  <c r="B9" i="3"/>
  <c r="E8" i="3"/>
  <c r="B8" i="3"/>
  <c r="B7" i="3"/>
  <c r="B6" i="3"/>
  <c r="B10" i="3" s="1"/>
  <c r="D12" i="2"/>
  <c r="D11" i="2"/>
  <c r="D10" i="2"/>
  <c r="D9" i="2"/>
  <c r="D8" i="2"/>
  <c r="D7" i="2"/>
  <c r="D6" i="2"/>
  <c r="D5" i="2"/>
  <c r="D14" i="2" s="1"/>
  <c r="D15" i="2" s="1"/>
  <c r="G137" i="1"/>
  <c r="G136" i="1"/>
  <c r="G135" i="1"/>
  <c r="G134" i="1"/>
  <c r="G133" i="1"/>
  <c r="I42" i="1"/>
  <c r="I41" i="1"/>
  <c r="I40" i="1"/>
  <c r="I32" i="1"/>
  <c r="I34" i="1" s="1"/>
  <c r="I31" i="1"/>
</calcChain>
</file>

<file path=xl/sharedStrings.xml><?xml version="1.0" encoding="utf-8"?>
<sst xmlns="http://schemas.openxmlformats.org/spreadsheetml/2006/main" count="1740" uniqueCount="1486">
  <si>
    <t>ISO 16484 - MECHANICAL, VENTILATION AND AIR CONDITIONING SYSTEMS</t>
  </si>
  <si>
    <t>Section 3.2 - CONDENSING UNITS &amp; CHILLERS per ASHRAE Standards</t>
  </si>
  <si>
    <t>Section 3.3 - SPLIT &amp; PACKAGED AC UNITS per ISO 5151</t>
  </si>
  <si>
    <t>Section 3.4 - FAN COIL UNITS (FCU)</t>
  </si>
  <si>
    <t>Section 3.5 - FANS &amp; BLOWERS per AMCA 200/210</t>
  </si>
  <si>
    <t>Section 3.6 - DIFFUSERS &amp; GRILLES per ASHRAE Fundamentals</t>
  </si>
  <si>
    <t>Section 3.7 - DAMPERS &amp; ACTUATORS per UL 555/555S</t>
  </si>
  <si>
    <t>Section 3.8 - VAV &amp; CAV TERMINAL UNITS per AHRI 880</t>
  </si>
  <si>
    <t>Section 3.9 - BOILERS &amp; HEATERS per ASME Section IV</t>
  </si>
  <si>
    <t>Section 3.10 - PUMPS per ASME B73.1/HI Standards</t>
  </si>
  <si>
    <t>REFRIGERANTS - ISO 817 / ASHRAE 34</t>
  </si>
  <si>
    <t>MEDICAL GAS OUTLETS - ISO 7396-1</t>
  </si>
  <si>
    <t>DUCT TYPES</t>
  </si>
  <si>
    <t>TERMINAL TYPES</t>
  </si>
  <si>
    <t>DUCT MATERIALS</t>
  </si>
  <si>
    <t>INSULATION</t>
  </si>
  <si>
    <t>TERMINAL TYPES (DETAILED)</t>
  </si>
  <si>
    <t>MOUNTING TYPES</t>
  </si>
  <si>
    <t>CONTROLS</t>
  </si>
  <si>
    <t>MOUNTING</t>
  </si>
  <si>
    <t>Uganda Standards 2025 - Enhanced Version</t>
  </si>
  <si>
    <t>Code</t>
  </si>
  <si>
    <t>Description</t>
  </si>
  <si>
    <t>Technical Specification / Standard Reference</t>
  </si>
  <si>
    <t>Specification</t>
  </si>
  <si>
    <t>Description / Standard</t>
  </si>
  <si>
    <t>Standard / Specification</t>
  </si>
  <si>
    <t>Thickness / Type</t>
  </si>
  <si>
    <t>Application</t>
  </si>
  <si>
    <t>Section 3.1 - AIR HANDLING UNITS (AHU) per ISO 16484-3</t>
  </si>
  <si>
    <t>ABCH</t>
  </si>
  <si>
    <t>Absorption Chiller</t>
  </si>
  <si>
    <t>Heat-driven absorption cycle chiller (LiBr/H2O or NH3/H2O)</t>
  </si>
  <si>
    <t>AC</t>
  </si>
  <si>
    <t>Air Conditioner</t>
  </si>
  <si>
    <t>General air conditioning unit</t>
  </si>
  <si>
    <t>CFCU</t>
  </si>
  <si>
    <t>Concealed Fan Coil Unit</t>
  </si>
  <si>
    <t>Ceiling-concealed FCU with ducted supply/return</t>
  </si>
  <si>
    <t>AEF</t>
  </si>
  <si>
    <t>Axial Exhaust Fan</t>
  </si>
  <si>
    <t>Axial flow exhaust fan per AMCA 210</t>
  </si>
  <si>
    <t>CREG</t>
  </si>
  <si>
    <t>Ceiling Register</t>
  </si>
  <si>
    <t>Adjustable ceiling supply register</t>
  </si>
  <si>
    <t>BD</t>
  </si>
  <si>
    <t>Backdraft Damper</t>
  </si>
  <si>
    <t>Gravity-operated backdraft prevention damper</t>
  </si>
  <si>
    <t>CAV</t>
  </si>
  <si>
    <t>Constant Air Volume Box</t>
  </si>
  <si>
    <t>CAV terminal unit with fixed airflow</t>
  </si>
  <si>
    <t>BLR</t>
  </si>
  <si>
    <t>Boiler</t>
  </si>
  <si>
    <t>Hot water/steam boiler per ASME Section IV</t>
  </si>
  <si>
    <t>PUMP-CHW</t>
  </si>
  <si>
    <t>Chilled Water Pump</t>
  </si>
  <si>
    <t>Chilled water circulation pump per HI 1.3</t>
  </si>
  <si>
    <t>R-410A</t>
  </si>
  <si>
    <t>R-410A (HFC)</t>
  </si>
  <si>
    <t>Common residential/commercial, GWP 2088, per ASHRAE 34</t>
  </si>
  <si>
    <t>AIRMAN</t>
  </si>
  <si>
    <t>Air Manifold</t>
  </si>
  <si>
    <t>Medical air manifold</t>
  </si>
  <si>
    <t>SD</t>
  </si>
  <si>
    <t>Supply Duct</t>
  </si>
  <si>
    <t>Fibreglass duct board ASTM C1071</t>
  </si>
  <si>
    <t>SD-SQ</t>
  </si>
  <si>
    <t>Square Supply Diffuser</t>
  </si>
  <si>
    <t>ASHRAE 70-2006</t>
  </si>
  <si>
    <t>GI</t>
  </si>
  <si>
    <t>Galvanized Iron</t>
  </si>
  <si>
    <t>ASTM A653</t>
  </si>
  <si>
    <t>Fibreglass 25mm</t>
  </si>
  <si>
    <t>Floor</t>
  </si>
  <si>
    <t>Galvanized iron per ASTM A653</t>
  </si>
  <si>
    <t>DDC Control</t>
  </si>
  <si>
    <t>Direct digital control per ISO 16484</t>
  </si>
  <si>
    <t>Floor Mount</t>
  </si>
  <si>
    <t>Floor mounting per equipment specs</t>
  </si>
  <si>
    <t>ACDU</t>
  </si>
  <si>
    <t>Air Cooled Condensing Unit</t>
  </si>
  <si>
    <t>Air-cooled refrigerant condensing unit per AHRI 365</t>
  </si>
  <si>
    <t>CPAC</t>
  </si>
  <si>
    <t>Close Control Package AC</t>
  </si>
  <si>
    <t>Precision AC for data centers per ASHRAE TC 9.9</t>
  </si>
  <si>
    <t>CSFCU</t>
  </si>
  <si>
    <t>Cassette Fan Coil Unit</t>
  </si>
  <si>
    <t>Ceiling cassette FCU with 4-way distribution</t>
  </si>
  <si>
    <t>ASF</t>
  </si>
  <si>
    <t>Axial Supply Fan</t>
  </si>
  <si>
    <t>Axial flow supply fan</t>
  </si>
  <si>
    <t>CRG</t>
  </si>
  <si>
    <t>Ceiling Return Grille</t>
  </si>
  <si>
    <t>Fixed ceiling return air grille</t>
  </si>
  <si>
    <t>BDACT</t>
  </si>
  <si>
    <t>Belimo Damper Actuator</t>
  </si>
  <si>
    <t>Belimo brand damper actuator (common spec)</t>
  </si>
  <si>
    <t>DDVAV</t>
  </si>
  <si>
    <t>Dual Duct VAV Box</t>
  </si>
  <si>
    <t>Dual duct mixing VAV terminal</t>
  </si>
  <si>
    <t>CBLR</t>
  </si>
  <si>
    <t>Condensing Boiler</t>
  </si>
  <si>
    <t>High-efficiency condensing boiler &gt;90% AFUE</t>
  </si>
  <si>
    <t>PUMP-CDW</t>
  </si>
  <si>
    <t>Condenser Water Pump</t>
  </si>
  <si>
    <t>Condenser/tower water pump</t>
  </si>
  <si>
    <t>R-32</t>
  </si>
  <si>
    <t>R-32 (HFC)</t>
  </si>
  <si>
    <t>Lower GWP alternative, GWP 675, increasingly used</t>
  </si>
  <si>
    <t>AIROUT</t>
  </si>
  <si>
    <t>Medical Air Outlet</t>
  </si>
  <si>
    <t>Air terminal unit</t>
  </si>
  <si>
    <t>RG</t>
  </si>
  <si>
    <t>Return Grille</t>
  </si>
  <si>
    <t>SMACNA HVAC Duct Construction Standards</t>
  </si>
  <si>
    <t>SD-RD</t>
  </si>
  <si>
    <t>Round Supply Diffuser</t>
  </si>
  <si>
    <t>STAINLESS</t>
  </si>
  <si>
    <t>Stainless Steel</t>
  </si>
  <si>
    <t>ASTM A240</t>
  </si>
  <si>
    <t>Fibreglass 50mm</t>
  </si>
  <si>
    <t>Return Duct / Return Grille</t>
  </si>
  <si>
    <t>Wall</t>
  </si>
  <si>
    <t>Stainless steel 304/316 per ASTM A240</t>
  </si>
  <si>
    <t>ON/OFF Control</t>
  </si>
  <si>
    <t>Two-position on/off control</t>
  </si>
  <si>
    <t>Wall Mount</t>
  </si>
  <si>
    <t>Wall mounting per equipment specs</t>
  </si>
  <si>
    <t>ACH</t>
  </si>
  <si>
    <t>Air Cooled Chiller</t>
  </si>
  <si>
    <t>Air-cooled chiller per AHRI 550/590</t>
  </si>
  <si>
    <t>CSP</t>
  </si>
  <si>
    <t>Ceiling Split Unit</t>
  </si>
  <si>
    <t>4-way cassette ceiling split system</t>
  </si>
  <si>
    <t>EFCU</t>
  </si>
  <si>
    <t>Exposed Fan Coil Unit</t>
  </si>
  <si>
    <t>Wall/ceiling exposed FCU</t>
  </si>
  <si>
    <t>ATRF</t>
  </si>
  <si>
    <t>Atrium Relief Fan</t>
  </si>
  <si>
    <t>Smoke relief fan for atrium spaces</t>
  </si>
  <si>
    <t>CSD</t>
  </si>
  <si>
    <t>Circular Supply Diffuser</t>
  </si>
  <si>
    <t>Round ceiling supply diffuser</t>
  </si>
  <si>
    <t>DACT</t>
  </si>
  <si>
    <t>Damper Actuator</t>
  </si>
  <si>
    <t>Motorized damper actuator per ISO 16484</t>
  </si>
  <si>
    <t>FVAV</t>
  </si>
  <si>
    <t>Fan Powered VAV Box</t>
  </si>
  <si>
    <t>VAV with integral supply fan</t>
  </si>
  <si>
    <t>CHTR</t>
  </si>
  <si>
    <t>Convection Heater</t>
  </si>
  <si>
    <t>Natural convection space heater</t>
  </si>
  <si>
    <t>PUMP-HW</t>
  </si>
  <si>
    <t>Heating Water Pump</t>
  </si>
  <si>
    <t>Hot water heating circulation pump</t>
  </si>
  <si>
    <t>R-134a</t>
  </si>
  <si>
    <t>R-134A (HFC)</t>
  </si>
  <si>
    <t>Chillers/automotive, GWP 1430</t>
  </si>
  <si>
    <t>CO2OUT</t>
  </si>
  <si>
    <t>CO2 Outlet</t>
  </si>
  <si>
    <t>Carbon dioxide outlet</t>
  </si>
  <si>
    <t>EG</t>
  </si>
  <si>
    <t>Exhaust Grille</t>
  </si>
  <si>
    <t>RG-SL</t>
  </si>
  <si>
    <t>Slot Return Grille</t>
  </si>
  <si>
    <t>ALUMINUM</t>
  </si>
  <si>
    <t>Aluminum</t>
  </si>
  <si>
    <t>ASTM B209</t>
  </si>
  <si>
    <t>Armaflex 13mm</t>
  </si>
  <si>
    <t>Exhaust Duct / Extract Grille</t>
  </si>
  <si>
    <t>Return Grille - Slot</t>
  </si>
  <si>
    <t>Ceiling</t>
  </si>
  <si>
    <t>Aluminum per ASTM B209</t>
  </si>
  <si>
    <t>VFD Control</t>
  </si>
  <si>
    <t>Variable frequency drive control</t>
  </si>
  <si>
    <t>Ceiling Mount</t>
  </si>
  <si>
    <t>Ceiling mounting per equipment specs</t>
  </si>
  <si>
    <t>CCCT</t>
  </si>
  <si>
    <t>Closed Circuit Cooling Tower</t>
  </si>
  <si>
    <t>Closed-circuit fluid cooler per CTI STD-201</t>
  </si>
  <si>
    <t>DSP</t>
  </si>
  <si>
    <t>Duct Split Unit</t>
  </si>
  <si>
    <t>Concealed ceiling ducted split system</t>
  </si>
  <si>
    <t>FCDU</t>
  </si>
  <si>
    <t>Fan Coil Duct Unit</t>
  </si>
  <si>
    <t>Ducted fan coil unit</t>
  </si>
  <si>
    <t>BLW</t>
  </si>
  <si>
    <t>Blower</t>
  </si>
  <si>
    <t>General centrifugal blower</t>
  </si>
  <si>
    <t>DBG</t>
  </si>
  <si>
    <t>Double Deflection Grille</t>
  </si>
  <si>
    <t>Adjustable double deflection supply grille</t>
  </si>
  <si>
    <t>EDACT</t>
  </si>
  <si>
    <t>Electric Damper Actuator</t>
  </si>
  <si>
    <t>Electric motor damper actuator</t>
  </si>
  <si>
    <t>PVAV</t>
  </si>
  <si>
    <t>Parallel Fan VAV Box</t>
  </si>
  <si>
    <t>Parallel fan-powered VAV per AHRI 880</t>
  </si>
  <si>
    <t>EBLR</t>
  </si>
  <si>
    <t>Electric Boiler</t>
  </si>
  <si>
    <t>Electric resistance boiler</t>
  </si>
  <si>
    <t>R-407C</t>
  </si>
  <si>
    <t>R-407C (HFC)</t>
  </si>
  <si>
    <t>R-22 retrofit, GWP 1774</t>
  </si>
  <si>
    <t>N2OMAN</t>
  </si>
  <si>
    <t>N2O Manifold</t>
  </si>
  <si>
    <t>Nitrous oxide manifold</t>
  </si>
  <si>
    <t>VAV</t>
  </si>
  <si>
    <t>VAV Terminal</t>
  </si>
  <si>
    <t>AHRI 880</t>
  </si>
  <si>
    <t>RG-DW</t>
  </si>
  <si>
    <t>Double Deflection Return/Extract Grille</t>
  </si>
  <si>
    <t>FLEXIBLE</t>
  </si>
  <si>
    <t>Flexible Duct</t>
  </si>
  <si>
    <t>UL 181</t>
  </si>
  <si>
    <t>OA</t>
  </si>
  <si>
    <t>Armaflex 19mm</t>
  </si>
  <si>
    <t>Outside Air Duct</t>
  </si>
  <si>
    <t>RG-EG</t>
  </si>
  <si>
    <t>Return/Extract Grille</t>
  </si>
  <si>
    <t>FRP</t>
  </si>
  <si>
    <t>Roof</t>
  </si>
  <si>
    <t>Fiberglass reinforced plastic per ASTM D4097</t>
  </si>
  <si>
    <t>Thermostat</t>
  </si>
  <si>
    <t>Room thermostat per ISO 7730</t>
  </si>
  <si>
    <t>Roof Mount</t>
  </si>
  <si>
    <t>Roof mounting per equipment specs</t>
  </si>
  <si>
    <t>CDU</t>
  </si>
  <si>
    <t>Condensing Unit</t>
  </si>
  <si>
    <t>General refrigerant condensing unit per AHRI 365</t>
  </si>
  <si>
    <t>FSP</t>
  </si>
  <si>
    <t>Floor Split Unit</t>
  </si>
  <si>
    <t>Floor console type split indoor unit</t>
  </si>
  <si>
    <t>FCU</t>
  </si>
  <si>
    <t>Fan Coil Unit</t>
  </si>
  <si>
    <t>Standard chilled/hot water fan coil per ISO 16358-1</t>
  </si>
  <si>
    <t>BPRF</t>
  </si>
  <si>
    <t>Building Pressurization Fan</t>
  </si>
  <si>
    <t>Stairwell pressurization per NFPA 92</t>
  </si>
  <si>
    <t>DRG</t>
  </si>
  <si>
    <t>Door Return Grille</t>
  </si>
  <si>
    <t>Door-mounted return air transfer grille</t>
  </si>
  <si>
    <t>FD</t>
  </si>
  <si>
    <t>Fire Damper</t>
  </si>
  <si>
    <t>Fusible link fire damper per UL 555</t>
  </si>
  <si>
    <t>SCAV</t>
  </si>
  <si>
    <t>Single Duct CAV Box</t>
  </si>
  <si>
    <t>Single duct CAV terminal</t>
  </si>
  <si>
    <t>EWH</t>
  </si>
  <si>
    <t>Electric Water Heater</t>
  </si>
  <si>
    <t>Electric domestic hot water heater</t>
  </si>
  <si>
    <t>R-404A</t>
  </si>
  <si>
    <t>R-404A (HFC)</t>
  </si>
  <si>
    <t>Commercial refrigeration, GWP 3922</t>
  </si>
  <si>
    <t>N2OUT</t>
  </si>
  <si>
    <t>N2O Outlet</t>
  </si>
  <si>
    <t>Nitrous oxide outlet</t>
  </si>
  <si>
    <t>CAV Terminal</t>
  </si>
  <si>
    <t>EG-SL</t>
  </si>
  <si>
    <t>Slot Exhaust Grille</t>
  </si>
  <si>
    <t>FIBREGLASS</t>
  </si>
  <si>
    <t>Fibreglass</t>
  </si>
  <si>
    <t>ASTM C1071</t>
  </si>
  <si>
    <t>SA</t>
  </si>
  <si>
    <t>Armaflex 25mm</t>
  </si>
  <si>
    <t>Supply Air (general)</t>
  </si>
  <si>
    <t>SD-4W</t>
  </si>
  <si>
    <t>4-Way Supply Diffuser</t>
  </si>
  <si>
    <t>PVC</t>
  </si>
  <si>
    <t>Suspended</t>
  </si>
  <si>
    <t>PVC duct per ASTM D1784</t>
  </si>
  <si>
    <t>Humidistat</t>
  </si>
  <si>
    <t>Humidity control per ISO 16484-2</t>
  </si>
  <si>
    <t>Suspended mounting per equipment specs</t>
  </si>
  <si>
    <t>CH</t>
  </si>
  <si>
    <t>Chiller</t>
  </si>
  <si>
    <t>General chiller per ASHRAE 90.1</t>
  </si>
  <si>
    <t>MSAC</t>
  </si>
  <si>
    <t>Multi-Split AC</t>
  </si>
  <si>
    <t>Multi-zone split with multiple indoor units</t>
  </si>
  <si>
    <t>HFCU</t>
  </si>
  <si>
    <t>Horizontal Fan Coil Unit</t>
  </si>
  <si>
    <t>Horizontal concealed FCU</t>
  </si>
  <si>
    <t>CEF</t>
  </si>
  <si>
    <t>Centrifugal Exhaust Fan</t>
  </si>
  <si>
    <t>Centrifugal exhaust fan</t>
  </si>
  <si>
    <t>EGG</t>
  </si>
  <si>
    <t>Egg Crate Grille</t>
  </si>
  <si>
    <t>Egg crate pattern return grille</t>
  </si>
  <si>
    <t>FSD</t>
  </si>
  <si>
    <t>Fire/Smoke Damper</t>
  </si>
  <si>
    <t>Combination fire and smoke damper per UL 555S</t>
  </si>
  <si>
    <t>SCVAV</t>
  </si>
  <si>
    <t>Single duct VAV terminal unit</t>
  </si>
  <si>
    <t>FSHTR</t>
  </si>
  <si>
    <t>Fan Space Heater</t>
  </si>
  <si>
    <t>Unit heater with integral fan</t>
  </si>
  <si>
    <t>R-22</t>
  </si>
  <si>
    <t>R-22 (HCFC)</t>
  </si>
  <si>
    <t>PHASED OUT per Montreal Protocol - legacy only</t>
  </si>
  <si>
    <t>O2MAN</t>
  </si>
  <si>
    <t>Oxygen Manifold</t>
  </si>
  <si>
    <t>Oxygen cylinder manifold</t>
  </si>
  <si>
    <t>DIFF</t>
  </si>
  <si>
    <t>Supply Diffuser</t>
  </si>
  <si>
    <t>DIFF-SQ</t>
  </si>
  <si>
    <t>Square Diffuser</t>
  </si>
  <si>
    <t>ASTM D1784</t>
  </si>
  <si>
    <t>RA</t>
  </si>
  <si>
    <t>PIR 25mm</t>
  </si>
  <si>
    <t>Return Air</t>
  </si>
  <si>
    <t>SD-LN</t>
  </si>
  <si>
    <t>Linear Supply Diffuser</t>
  </si>
  <si>
    <t>FLEX</t>
  </si>
  <si>
    <t>Ducted</t>
  </si>
  <si>
    <t>Flexible duct per UL 181</t>
  </si>
  <si>
    <t>CO2 Sensor</t>
  </si>
  <si>
    <t>Demand control ventilation per ASHRAE 62.1</t>
  </si>
  <si>
    <t>Ducted installation</t>
  </si>
  <si>
    <t>HAHU</t>
  </si>
  <si>
    <t>Hygienic Air Handling Unit</t>
  </si>
  <si>
    <t>Cleanroom AHU with HEPA filtration per ISO 14644</t>
  </si>
  <si>
    <t>CT</t>
  </si>
  <si>
    <t>Cooling Tower</t>
  </si>
  <si>
    <t>Cooling tower per CTI ATC-105</t>
  </si>
  <si>
    <t>PAC</t>
  </si>
  <si>
    <t>Package Air Conditioner</t>
  </si>
  <si>
    <t>Self-contained packaged AC unit</t>
  </si>
  <si>
    <t>HWFCU</t>
  </si>
  <si>
    <t>Hot Water Fan Coil Unit</t>
  </si>
  <si>
    <t>Heating-only hot water FCU</t>
  </si>
  <si>
    <t>CORPF</t>
  </si>
  <si>
    <t>Corridor Pressurization Fan</t>
  </si>
  <si>
    <t>Corridor smoke control fan</t>
  </si>
  <si>
    <t>FREG</t>
  </si>
  <si>
    <t>Floor Register</t>
  </si>
  <si>
    <t>Floor-mounted supply register</t>
  </si>
  <si>
    <t>MCD</t>
  </si>
  <si>
    <t>Motorized Control Damper</t>
  </si>
  <si>
    <t>Modulating control damper with actuator</t>
  </si>
  <si>
    <t>SVAV</t>
  </si>
  <si>
    <t>Series Fan VAV Box</t>
  </si>
  <si>
    <t>Series fan-powered VAV per AHRI 880</t>
  </si>
  <si>
    <t>GBLR</t>
  </si>
  <si>
    <t>Gas Boiler</t>
  </si>
  <si>
    <t>Natural gas fired boiler</t>
  </si>
  <si>
    <t>WATER</t>
  </si>
  <si>
    <t>Water</t>
  </si>
  <si>
    <t>Water as refrigerant/coolant</t>
  </si>
  <si>
    <t>O2OUT</t>
  </si>
  <si>
    <t>Oxygen Outlet</t>
  </si>
  <si>
    <t>Oxygen terminal unit</t>
  </si>
  <si>
    <t>GRILLE</t>
  </si>
  <si>
    <t>DIFF-RD</t>
  </si>
  <si>
    <t>Round Diffuser</t>
  </si>
  <si>
    <t>EA</t>
  </si>
  <si>
    <t>Mineral wool 50mm</t>
  </si>
  <si>
    <t>Exhaust Air</t>
  </si>
  <si>
    <t>SD-SW</t>
  </si>
  <si>
    <t>Swirl Diffuser</t>
  </si>
  <si>
    <t>FABRIC</t>
  </si>
  <si>
    <t>Cassette</t>
  </si>
  <si>
    <t>Fabric ducting system</t>
  </si>
  <si>
    <t>Timer</t>
  </si>
  <si>
    <t>Programmable timer control</t>
  </si>
  <si>
    <t>Ceiling cassette installation</t>
  </si>
  <si>
    <t>LAHU</t>
  </si>
  <si>
    <t>Laboratory Air Handling Unit</t>
  </si>
  <si>
    <t>Lab-specific AHU with enhanced safety and exhaust</t>
  </si>
  <si>
    <t>CENCH</t>
  </si>
  <si>
    <t>Centrifugal Chiller</t>
  </si>
  <si>
    <t>Centrifugal compressor chiller per AHRI 550/590</t>
  </si>
  <si>
    <t>PPAC</t>
  </si>
  <si>
    <t>Portable Package AC</t>
  </si>
  <si>
    <t>Mobile packaged unit on casters</t>
  </si>
  <si>
    <t>SLFCU</t>
  </si>
  <si>
    <t>Slim Line Fan Coil Unit</t>
  </si>
  <si>
    <t>Ultra-thin profile FCU</t>
  </si>
  <si>
    <t>CSF</t>
  </si>
  <si>
    <t>Centrifugal Supply Fan</t>
  </si>
  <si>
    <t>Centrifugal supply air fan</t>
  </si>
  <si>
    <t>FRG</t>
  </si>
  <si>
    <t>Floor Return Grille</t>
  </si>
  <si>
    <t>Floor-mounted return grille</t>
  </si>
  <si>
    <t>MVD</t>
  </si>
  <si>
    <t>Manual Volume Damper</t>
  </si>
  <si>
    <t>Manual balancing volume damper</t>
  </si>
  <si>
    <t>TCAV</t>
  </si>
  <si>
    <t>Throttling CAV Box</t>
  </si>
  <si>
    <t>CAV with throttling damper</t>
  </si>
  <si>
    <t>GWH</t>
  </si>
  <si>
    <t>Gas Water Heater</t>
  </si>
  <si>
    <t>Gas-fired water heater per ANSI Z21.10.1</t>
  </si>
  <si>
    <t>STEAM</t>
  </si>
  <si>
    <t>Steam</t>
  </si>
  <si>
    <t>Steam heating medium</t>
  </si>
  <si>
    <t>VAOUT</t>
  </si>
  <si>
    <t>Vacuum Outlet</t>
  </si>
  <si>
    <t>Medical vacuum outlet</t>
  </si>
  <si>
    <t>DAMPER</t>
  </si>
  <si>
    <t>Damper</t>
  </si>
  <si>
    <t>SMACNA damper standards</t>
  </si>
  <si>
    <t>FA</t>
  </si>
  <si>
    <t>Elastomeric foam 19mm</t>
  </si>
  <si>
    <t>Fresh Air</t>
  </si>
  <si>
    <t>EG-LV</t>
  </si>
  <si>
    <t>Louvre Extract Grille</t>
  </si>
  <si>
    <t>BMS Integration</t>
  </si>
  <si>
    <t>Building management system integration</t>
  </si>
  <si>
    <t>MAHU</t>
  </si>
  <si>
    <t>Modular Air Handling Unit</t>
  </si>
  <si>
    <t>Flexible modular construction AHU system</t>
  </si>
  <si>
    <t>FDCT</t>
  </si>
  <si>
    <t>Forced Draft Cooling Tower</t>
  </si>
  <si>
    <t>Tower with bottom-mounted fan forcing air upward</t>
  </si>
  <si>
    <t>RPAC</t>
  </si>
  <si>
    <t>Rooftop Package AC</t>
  </si>
  <si>
    <t>Rooftop unit (RTU) per AHRI 340/360</t>
  </si>
  <si>
    <t>VFCU</t>
  </si>
  <si>
    <t>Vertical Fan Coil Unit</t>
  </si>
  <si>
    <t>Vertical stack/riser FCU</t>
  </si>
  <si>
    <t>EF</t>
  </si>
  <si>
    <t>Exhaust Fan</t>
  </si>
  <si>
    <t>General exhaust ventilation fan</t>
  </si>
  <si>
    <t>LINRG</t>
  </si>
  <si>
    <t>Linear Return Grille</t>
  </si>
  <si>
    <t>Slot-type linear return grille</t>
  </si>
  <si>
    <t>PDACT</t>
  </si>
  <si>
    <t>Pneumatic Damper Actuator</t>
  </si>
  <si>
    <t>Compressed air damper actuator</t>
  </si>
  <si>
    <t>Variable Air Volume Box</t>
  </si>
  <si>
    <t>VAV terminal unit with DDC control per ASHRAE</t>
  </si>
  <si>
    <t>HPWH</t>
  </si>
  <si>
    <t>Heat Pump Water Heater</t>
  </si>
  <si>
    <t>Heat pump domestic hot water system</t>
  </si>
  <si>
    <t>GLYCOL</t>
  </si>
  <si>
    <t>Glycol Solution</t>
  </si>
  <si>
    <t>Water-glycol antifreeze solution</t>
  </si>
  <si>
    <t>WAGD</t>
  </si>
  <si>
    <t>WAGD System</t>
  </si>
  <si>
    <t>Waste gas disposal</t>
  </si>
  <si>
    <t>UL 555</t>
  </si>
  <si>
    <t>DDC</t>
  </si>
  <si>
    <t>MAU</t>
  </si>
  <si>
    <t>Make-Up Air Unit</t>
  </si>
  <si>
    <t>Replacement air unit compensating for exhaust systems</t>
  </si>
  <si>
    <t>HCT</t>
  </si>
  <si>
    <t>Hybrid Cooling Tower</t>
  </si>
  <si>
    <t>Wet/dry hybrid cooling system for water conservation</t>
  </si>
  <si>
    <t>VRF</t>
  </si>
  <si>
    <t>Variable Refrigerant Flow</t>
  </si>
  <si>
    <t>VRF system per ISO 16358</t>
  </si>
  <si>
    <t>HXFAN</t>
  </si>
  <si>
    <t>Heat Recovery Fan</t>
  </si>
  <si>
    <t>Energy recovery ventilator fan</t>
  </si>
  <si>
    <t>LSD</t>
  </si>
  <si>
    <t>Slot diffuser for perimeter heating</t>
  </si>
  <si>
    <t>RD</t>
  </si>
  <si>
    <t>Relief Damper</t>
  </si>
  <si>
    <t>Barometric/motorized relief damper</t>
  </si>
  <si>
    <t>NCBLR</t>
  </si>
  <si>
    <t>Non-Condensing Boiler</t>
  </si>
  <si>
    <t>Standard efficiency non-condensing boiler</t>
  </si>
  <si>
    <t>MD</t>
  </si>
  <si>
    <t>ON/OFF</t>
  </si>
  <si>
    <t>PAHU</t>
  </si>
  <si>
    <t>Package Air Handling Unit</t>
  </si>
  <si>
    <t>Factory-assembled pre-wired packaged AHU</t>
  </si>
  <si>
    <t>ICT</t>
  </si>
  <si>
    <t>Induced Draft Cooling Tower</t>
  </si>
  <si>
    <t>Tower with top-mounted fan inducing air through fill</t>
  </si>
  <si>
    <t>VRV</t>
  </si>
  <si>
    <t>Variable Refrigerant Volume</t>
  </si>
  <si>
    <t>Daikin VRV trademark system</t>
  </si>
  <si>
    <t>JET</t>
  </si>
  <si>
    <t>Jet Fan</t>
  </si>
  <si>
    <t>Impulse jet fan for tunnels/parking per BS EN 12101-3</t>
  </si>
  <si>
    <t>PERF</t>
  </si>
  <si>
    <t>Perforated Diffuser</t>
  </si>
  <si>
    <t>Perforated ceiling diffuser panel</t>
  </si>
  <si>
    <t>VD</t>
  </si>
  <si>
    <t>Volume Damper</t>
  </si>
  <si>
    <t>Airflow balancing damper per SMACNA</t>
  </si>
  <si>
    <t>OBLR</t>
  </si>
  <si>
    <t>Oil Boiler</t>
  </si>
  <si>
    <t>Oil-fired boiler</t>
  </si>
  <si>
    <t>VFD</t>
  </si>
  <si>
    <t>RAHU</t>
  </si>
  <si>
    <t>Rooftop Air Handling Unit</t>
  </si>
  <si>
    <t>Weatherproof outdoor rooftop-mounted AHU</t>
  </si>
  <si>
    <t>MCH</t>
  </si>
  <si>
    <t>Modular Chiller</t>
  </si>
  <si>
    <t>Modular design chiller for staged capacity</t>
  </si>
  <si>
    <t>WSP</t>
  </si>
  <si>
    <t>Wall Split Unit</t>
  </si>
  <si>
    <t>Wall-mounted split indoor unit</t>
  </si>
  <si>
    <t>KEF</t>
  </si>
  <si>
    <t>Kitchen Exhaust Fan</t>
  </si>
  <si>
    <t>Commercial kitchen exhaust per NFPA 96</t>
  </si>
  <si>
    <t>PERRG</t>
  </si>
  <si>
    <t>Perforated Return Grille</t>
  </si>
  <si>
    <t>Perforated return grille</t>
  </si>
  <si>
    <t>RHTR</t>
  </si>
  <si>
    <t>Radiant Heater</t>
  </si>
  <si>
    <t>Radiant tube/panel heater</t>
  </si>
  <si>
    <t>THERMOSTAT</t>
  </si>
  <si>
    <t>VMAU</t>
  </si>
  <si>
    <t>Ventilation Make-Up Air Unit</t>
  </si>
  <si>
    <t>Tempered outdoor air ventilation unit</t>
  </si>
  <si>
    <t>OCT</t>
  </si>
  <si>
    <t>Open Cooling Tower</t>
  </si>
  <si>
    <t>Traditional open-circuit evaporative tower</t>
  </si>
  <si>
    <t>LABEF</t>
  </si>
  <si>
    <t>Laboratory Exhaust Fan</t>
  </si>
  <si>
    <t>Fume hood exhaust fan</t>
  </si>
  <si>
    <t>REG</t>
  </si>
  <si>
    <t>Register</t>
  </si>
  <si>
    <t>General adjustable register</t>
  </si>
  <si>
    <t>SHTR</t>
  </si>
  <si>
    <t>Space Heater</t>
  </si>
  <si>
    <t>General space heating unit</t>
  </si>
  <si>
    <t>HUMIDISTAT</t>
  </si>
  <si>
    <t>RCDU</t>
  </si>
  <si>
    <t>Rack Condensing Unit</t>
  </si>
  <si>
    <t>Multi-compressor rack for refrigeration</t>
  </si>
  <si>
    <t>MIXFAN</t>
  </si>
  <si>
    <t>Mixing Fan</t>
  </si>
  <si>
    <t>Air circulation mixing fan</t>
  </si>
  <si>
    <t>Fixed blade return grille per ASHRAE</t>
  </si>
  <si>
    <t>SWH</t>
  </si>
  <si>
    <t>Solar Water Heater</t>
  </si>
  <si>
    <t>Solar thermal water heating system</t>
  </si>
  <si>
    <t>CO2</t>
  </si>
  <si>
    <t>SCH</t>
  </si>
  <si>
    <t>Screw Chiller</t>
  </si>
  <si>
    <t>Twin-screw compressor chiller technology</t>
  </si>
  <si>
    <t>PSF</t>
  </si>
  <si>
    <t>Plenum Supply Fan</t>
  </si>
  <si>
    <t>Plenum mounted supply fan</t>
  </si>
  <si>
    <t>Ceiling supply air diffuser</t>
  </si>
  <si>
    <t>UHTR</t>
  </si>
  <si>
    <t>Unit Heater</t>
  </si>
  <si>
    <t>Suspended gas/electric unit heater</t>
  </si>
  <si>
    <t>TIMER</t>
  </si>
  <si>
    <t>WCDU</t>
  </si>
  <si>
    <t>Water Cooled Condensing Unit</t>
  </si>
  <si>
    <t>Water-cooled refrigerant condenser</t>
  </si>
  <si>
    <t>SEF</t>
  </si>
  <si>
    <t>Smoke Exhaust Fan</t>
  </si>
  <si>
    <t>Smoke extraction fan per BS EN 12101-3</t>
  </si>
  <si>
    <t>SSD</t>
  </si>
  <si>
    <t>Square ceiling diffuser</t>
  </si>
  <si>
    <t>WH</t>
  </si>
  <si>
    <t>Water Heater</t>
  </si>
  <si>
    <t>Domestic hot water heater per ASHRAE 90.1</t>
  </si>
  <si>
    <t>BMS</t>
  </si>
  <si>
    <t>WCH</t>
  </si>
  <si>
    <t>Water Cooled Chiller</t>
  </si>
  <si>
    <t>Water-cooled chiller with cooling tower circuit</t>
  </si>
  <si>
    <t>SF</t>
  </si>
  <si>
    <t>Supply Fan</t>
  </si>
  <si>
    <t>General supply air fan</t>
  </si>
  <si>
    <t>SWD</t>
  </si>
  <si>
    <t>Swirl pattern supply diffuser</t>
  </si>
  <si>
    <t>STPF</t>
  </si>
  <si>
    <t>Staircase Pressurization Fan</t>
  </si>
  <si>
    <t>Fire stair pressurization per IBC</t>
  </si>
  <si>
    <t>TRFG</t>
  </si>
  <si>
    <t>Transfer Grille</t>
  </si>
  <si>
    <t>Door/wall transfer grille</t>
  </si>
  <si>
    <t>TOILEF</t>
  </si>
  <si>
    <t>Toilet Exhaust Fan</t>
  </si>
  <si>
    <t>Restroom exhaust ventilation fan</t>
  </si>
  <si>
    <t>WREG</t>
  </si>
  <si>
    <t>Wall Register</t>
  </si>
  <si>
    <t>Wall-mounted supply register</t>
  </si>
  <si>
    <t>WRG</t>
  </si>
  <si>
    <t>Wall Return Grille</t>
  </si>
  <si>
    <t>Wall-mounted return grille</t>
  </si>
  <si>
    <t>COMPREHENSIVE HVAC FORMULAS - ASHRAE / ISO 16484</t>
  </si>
  <si>
    <t>Formula Category</t>
  </si>
  <si>
    <t>Formula Name</t>
  </si>
  <si>
    <t>Formula</t>
  </si>
  <si>
    <t>Variables</t>
  </si>
  <si>
    <t>Units</t>
  </si>
  <si>
    <t>Notes</t>
  </si>
  <si>
    <t>DUCT SIZING CALCULATOR</t>
  </si>
  <si>
    <t>Air Flow</t>
  </si>
  <si>
    <t>Volume Flow Rate</t>
  </si>
  <si>
    <t>Q = v × A</t>
  </si>
  <si>
    <t>Q=Flow rate, v=Velocity, A=Area</t>
  </si>
  <si>
    <t>m³/s or CFM</t>
  </si>
  <si>
    <t>Basic air flow</t>
  </si>
  <si>
    <t>Air Flow (CFM):</t>
  </si>
  <si>
    <t>CFM Conversion</t>
  </si>
  <si>
    <t>CFM = m³/s × 2118.88</t>
  </si>
  <si>
    <t>CFM</t>
  </si>
  <si>
    <t>1 m³/s = 2118.88 CFM</t>
  </si>
  <si>
    <t>Velocity (FPM):</t>
  </si>
  <si>
    <t>L/s Conversion</t>
  </si>
  <si>
    <t>L/s = m³/s × 1000</t>
  </si>
  <si>
    <t>L/s</t>
  </si>
  <si>
    <t>1 m³/s = 1000 L/s</t>
  </si>
  <si>
    <t>Duct Area (sq ft):</t>
  </si>
  <si>
    <t>Required ACH Flow</t>
  </si>
  <si>
    <t>Q = (V × ACH) / 3600</t>
  </si>
  <si>
    <t>V=Volume(m³), ACH=Air Changes/Hour</t>
  </si>
  <si>
    <t>m³/s</t>
  </si>
  <si>
    <t>Ventilation sizing</t>
  </si>
  <si>
    <t>Round Duct Dia (inches):</t>
  </si>
  <si>
    <t>CFM from TR</t>
  </si>
  <si>
    <t>CFM = TR × 400</t>
  </si>
  <si>
    <t>TR=Tons refrigeration</t>
  </si>
  <si>
    <t>Rule of thumb: 400 CFM/TR</t>
  </si>
  <si>
    <t>Rect Duct Width (inches):</t>
  </si>
  <si>
    <t>Cooling Load</t>
  </si>
  <si>
    <t>Sensible Cooling</t>
  </si>
  <si>
    <t>Qs = 1.23 × Q × ΔT</t>
  </si>
  <si>
    <t>Qs=Sensible heat(kW), Q=Flow(m³/s), ΔT=Temp diff(°C)</t>
  </si>
  <si>
    <t>kW</t>
  </si>
  <si>
    <t>Air density @ STP</t>
  </si>
  <si>
    <t>Rect Duct Height (inches):</t>
  </si>
  <si>
    <t>Latent Cooling</t>
  </si>
  <si>
    <t>Ql = 3010 × Q × Δω</t>
  </si>
  <si>
    <t>Ql=Latent heat(kW), Δω=Humidity ratio diff(kg/kg)</t>
  </si>
  <si>
    <t>Moisture removal</t>
  </si>
  <si>
    <t>Total Cooling</t>
  </si>
  <si>
    <t>Qt = Qs + Ql</t>
  </si>
  <si>
    <t>Sum of sensible + latent</t>
  </si>
  <si>
    <t>HVAC CAPACITY CALCULATOR</t>
  </si>
  <si>
    <t>Cooling Tons</t>
  </si>
  <si>
    <t>TR = Qt / 3.517</t>
  </si>
  <si>
    <t>TR</t>
  </si>
  <si>
    <t>1 TR = 3.517 kW</t>
  </si>
  <si>
    <t>Room Area (m²):</t>
  </si>
  <si>
    <t>Sensible (Imperial)</t>
  </si>
  <si>
    <t>Qs = 1.08 × CFM × ΔT</t>
  </si>
  <si>
    <t>BTU/hr</t>
  </si>
  <si>
    <t>CFM in cubic feet/min</t>
  </si>
  <si>
    <t>Room Height (m):</t>
  </si>
  <si>
    <t>Latent (Imperial)</t>
  </si>
  <si>
    <t>Ql = 0.68 × CFM × Δgr</t>
  </si>
  <si>
    <t>Δgr=Grains moisture/lb</t>
  </si>
  <si>
    <t>7000 grains = 1 lb</t>
  </si>
  <si>
    <t>Occupancy (people):</t>
  </si>
  <si>
    <t>Heating Load</t>
  </si>
  <si>
    <t>Qh = 1.23 × Q × ΔT</t>
  </si>
  <si>
    <t>Qh=Heating load(kW)</t>
  </si>
  <si>
    <t>Air heating</t>
  </si>
  <si>
    <t>Heat Load (W/m²):</t>
  </si>
  <si>
    <t>Boiler Capacity</t>
  </si>
  <si>
    <t>Qb = Qh / η</t>
  </si>
  <si>
    <t>η=Efficiency (0.85-0.95)</t>
  </si>
  <si>
    <t>Include system losses</t>
  </si>
  <si>
    <t>Total Cooling Load (kW):</t>
  </si>
  <si>
    <t>Fan Power</t>
  </si>
  <si>
    <t>P = (Q × ΔP) / (1000 × ηfan)</t>
  </si>
  <si>
    <t>P=Power(kW), ΔP=Pressure(Pa), ηfan=Fan efficiency</t>
  </si>
  <si>
    <t>Typical ηfan: 0.6-0.8</t>
  </si>
  <si>
    <t>Required Tonnage (TR):</t>
  </si>
  <si>
    <t>Fan Total Pressure</t>
  </si>
  <si>
    <t>ΔPtotal = ΔPstatic + ΔPvelocity</t>
  </si>
  <si>
    <t>ΔPvelocity = ρv²/2</t>
  </si>
  <si>
    <t>Pa</t>
  </si>
  <si>
    <t>External static + velocity</t>
  </si>
  <si>
    <t>Air Changes/Hour:</t>
  </si>
  <si>
    <t>Pump Power</t>
  </si>
  <si>
    <t>P = (ρ × g × Q × H) / (1000 × ηpump)</t>
  </si>
  <si>
    <t>ρ=Density(kg/m³), g=9.81, H=Head(m)</t>
  </si>
  <si>
    <t>Water pumping</t>
  </si>
  <si>
    <t>Pump Head</t>
  </si>
  <si>
    <t>H = ΔP / (ρ × g)</t>
  </si>
  <si>
    <t>ΔP=Pressure diff(Pa)</t>
  </si>
  <si>
    <t>m</t>
  </si>
  <si>
    <t>Pressure to head conversion</t>
  </si>
  <si>
    <t>Chiller COP</t>
  </si>
  <si>
    <t>COP = Qc / Wc</t>
  </si>
  <si>
    <t>Qc=Cooling capacity, Wc=Compressor power</t>
  </si>
  <si>
    <t>Ratio</t>
  </si>
  <si>
    <t>Higher is better (3-7)</t>
  </si>
  <si>
    <t>Chiller EER</t>
  </si>
  <si>
    <t>EER = BTU/hr / Watts</t>
  </si>
  <si>
    <t>BTU/W·hr</t>
  </si>
  <si>
    <t>Imperial efficiency rating</t>
  </si>
  <si>
    <t>kW/TR</t>
  </si>
  <si>
    <t>kW/TR = 3.517 / COP</t>
  </si>
  <si>
    <t>Energy per ton, lower better</t>
  </si>
  <si>
    <t>Evaporator Flow</t>
  </si>
  <si>
    <t>Qw = Qc / (Cpw × ρw × ΔT)</t>
  </si>
  <si>
    <t>Cpw=4.18 kJ/kg·K, ρw=1000 kg/m³</t>
  </si>
  <si>
    <t>Chilled water flow</t>
  </si>
  <si>
    <t>Refrigeration</t>
  </si>
  <si>
    <t>Refrigerant Mass Flow</t>
  </si>
  <si>
    <t>mr = Qc / (h1 - h4)</t>
  </si>
  <si>
    <t>h1, h4=Enthalpies from P-h diagram</t>
  </si>
  <si>
    <t>kg/s</t>
  </si>
  <si>
    <t>Vapor compression cycle</t>
  </si>
  <si>
    <t>Compression Ratio</t>
  </si>
  <si>
    <t>CR = Pc / Pe</t>
  </si>
  <si>
    <t>Pc=Condenser pressure, Pe=Evaporator pressure</t>
  </si>
  <si>
    <t>Affects efficiency</t>
  </si>
  <si>
    <t>Duct Sizing</t>
  </si>
  <si>
    <t>Duct Velocity</t>
  </si>
  <si>
    <t>v = Q / A</t>
  </si>
  <si>
    <t>A=Cross-sectional area(m²)</t>
  </si>
  <si>
    <t>m/s</t>
  </si>
  <si>
    <t>Main: 6-10 m/s, Branch: 4-6 m/s</t>
  </si>
  <si>
    <t>Circular Duct Area</t>
  </si>
  <si>
    <t>A = π × D² / 4</t>
  </si>
  <si>
    <t>D=Diameter(m)</t>
  </si>
  <si>
    <t>m²</t>
  </si>
  <si>
    <t>Rectangular Equiv Diameter</t>
  </si>
  <si>
    <t>De = 1.3 × (a × b)^0.625 / (a + b)^0.25</t>
  </si>
  <si>
    <t>a, b=Duct sides(mm)</t>
  </si>
  <si>
    <t>mm</t>
  </si>
  <si>
    <t>For pressure drop calcs</t>
  </si>
  <si>
    <t>Duct Pressure Drop</t>
  </si>
  <si>
    <t>Friction Loss</t>
  </si>
  <si>
    <t>ΔP = f × (L/D) × (ρv²/2)</t>
  </si>
  <si>
    <t>f=Friction factor, L=Length, D=Diameter</t>
  </si>
  <si>
    <t>Darcy-Weisbach equation</t>
  </si>
  <si>
    <t>Fitting Loss</t>
  </si>
  <si>
    <t>ΔP = K × (ρv²/2)</t>
  </si>
  <si>
    <t>K=Loss coefficient</t>
  </si>
  <si>
    <t>Bends, tees, dampers</t>
  </si>
  <si>
    <t>Pipe Sizing</t>
  </si>
  <si>
    <t>Water Velocity</t>
  </si>
  <si>
    <t>CHW: 1-3 m/s, HW: 0.5-2 m/s</t>
  </si>
  <si>
    <t>Pipe Flow Area</t>
  </si>
  <si>
    <t>A = π × (ID)² / 4</t>
  </si>
  <si>
    <t>ID=Internal diameter</t>
  </si>
  <si>
    <t>Pipe Pressure Drop</t>
  </si>
  <si>
    <t>Darcy-Weisbach</t>
  </si>
  <si>
    <t>Pipe friction loss</t>
  </si>
  <si>
    <t>Hazen-Williams</t>
  </si>
  <si>
    <t>ΔP = 10.67 × Q^1.85 / (C^1.85 × D^4.87) × L</t>
  </si>
  <si>
    <t>C=Roughness coeff (120-140)</t>
  </si>
  <si>
    <t>kPa</t>
  </si>
  <si>
    <t>Water pipes</t>
  </si>
  <si>
    <t>Ventilation</t>
  </si>
  <si>
    <t>Fresh Air per Person</t>
  </si>
  <si>
    <t>Qp = n × Vp</t>
  </si>
  <si>
    <t>n=Occupants, Vp=L/s per person</t>
  </si>
  <si>
    <t>ASHRAE 62.1: 8-10 L/s·person</t>
  </si>
  <si>
    <t>Ventilation Effectiveness</t>
  </si>
  <si>
    <t>εv = (Cs - Csup) / (Cex - Csup)</t>
  </si>
  <si>
    <t>C=Contaminant concentration</t>
  </si>
  <si>
    <t>Mixing: 1.0, Displacement: &gt;1.0</t>
  </si>
  <si>
    <t>Psychrometrics</t>
  </si>
  <si>
    <t>Relative Humidity</t>
  </si>
  <si>
    <t>RH = (Pw / Pws) × 100%</t>
  </si>
  <si>
    <t>Pw=Partial pressure water, Pws=Saturation pressure</t>
  </si>
  <si>
    <t>%</t>
  </si>
  <si>
    <t>From psychrometric chart</t>
  </si>
  <si>
    <t>Humidity Ratio</t>
  </si>
  <si>
    <t>ω = 0.622 × (Pw / (P - Pw))</t>
  </si>
  <si>
    <t>P=Atmospheric pressure</t>
  </si>
  <si>
    <t>kg/kg</t>
  </si>
  <si>
    <t>Mass moisture per mass dry air</t>
  </si>
  <si>
    <t>Enthalpy</t>
  </si>
  <si>
    <t>h = Cpa × T + ω × (hfg + Cpv × T)</t>
  </si>
  <si>
    <t>Cpa=1.006, hfg=2501, Cpv=1.86</t>
  </si>
  <si>
    <t>kJ/kg</t>
  </si>
  <si>
    <t>Moist air enthalpy</t>
  </si>
  <si>
    <t>Thermal</t>
  </si>
  <si>
    <t>Heat Transfer</t>
  </si>
  <si>
    <t>Q = U × A × ΔT</t>
  </si>
  <si>
    <t>U=Overall heat transfer coeff(W/m²·K), A=Area(m²)</t>
  </si>
  <si>
    <t>W</t>
  </si>
  <si>
    <t>Through surfaces</t>
  </si>
  <si>
    <t>R-Value</t>
  </si>
  <si>
    <t>R = 1 / U</t>
  </si>
  <si>
    <t>R=Thermal resistance</t>
  </si>
  <si>
    <t>m²·K/W</t>
  </si>
  <si>
    <t>Insulation rating</t>
  </si>
  <si>
    <t>Efficiency</t>
  </si>
  <si>
    <t>SEER</t>
  </si>
  <si>
    <t>SEER = BTU cooling / Wh consumed</t>
  </si>
  <si>
    <t>BTU/Wh</t>
  </si>
  <si>
    <t>Seasonal energy efficiency</t>
  </si>
  <si>
    <t>HSPF</t>
  </si>
  <si>
    <t>HSPF = BTU heating / Wh consumed</t>
  </si>
  <si>
    <t>Heating seasonal performance</t>
  </si>
  <si>
    <t>FLOOR LEVELS</t>
  </si>
  <si>
    <t>ASSETMANAGEMENT_PRODUCT_CODE</t>
  </si>
  <si>
    <t>PROJECTINFO_DESCRIPTION_TXT</t>
  </si>
  <si>
    <t>REGULATORY_UNBS_STANDARD_REFERENCE</t>
  </si>
  <si>
    <t>B03</t>
  </si>
  <si>
    <t>Basement 3</t>
  </si>
  <si>
    <t>Third basement level</t>
  </si>
  <si>
    <t>B02</t>
  </si>
  <si>
    <t>Basement 2</t>
  </si>
  <si>
    <t>Second basement</t>
  </si>
  <si>
    <t>B01</t>
  </si>
  <si>
    <t>Basement 1</t>
  </si>
  <si>
    <t>First basement</t>
  </si>
  <si>
    <t>LG</t>
  </si>
  <si>
    <t>Lower Ground</t>
  </si>
  <si>
    <t>Semi-basement</t>
  </si>
  <si>
    <t>L00</t>
  </si>
  <si>
    <t>Ground Floor</t>
  </si>
  <si>
    <t>Main entrance</t>
  </si>
  <si>
    <t>LM</t>
  </si>
  <si>
    <t>Mezzanine</t>
  </si>
  <si>
    <t>Intermediate level</t>
  </si>
  <si>
    <t>L01</t>
  </si>
  <si>
    <t>Level 1</t>
  </si>
  <si>
    <t>First floor</t>
  </si>
  <si>
    <t>L02</t>
  </si>
  <si>
    <t>Level 2</t>
  </si>
  <si>
    <t>Second floor</t>
  </si>
  <si>
    <t>L03</t>
  </si>
  <si>
    <t>Level 3</t>
  </si>
  <si>
    <t>Third floor</t>
  </si>
  <si>
    <t>L04</t>
  </si>
  <si>
    <t>Level 4</t>
  </si>
  <si>
    <t>Fourth floor</t>
  </si>
  <si>
    <t>L05</t>
  </si>
  <si>
    <t>Level 5</t>
  </si>
  <si>
    <t>Fifth floor</t>
  </si>
  <si>
    <t>L06</t>
  </si>
  <si>
    <t>Level 6</t>
  </si>
  <si>
    <t>Sixth floor</t>
  </si>
  <si>
    <t>L07</t>
  </si>
  <si>
    <t>Level 7</t>
  </si>
  <si>
    <t>Seventh floor</t>
  </si>
  <si>
    <t>LP</t>
  </si>
  <si>
    <t>Penthouse</t>
  </si>
  <si>
    <t>Upper level</t>
  </si>
  <si>
    <t>LR</t>
  </si>
  <si>
    <t>Roof level</t>
  </si>
  <si>
    <t>ZONE CODES</t>
  </si>
  <si>
    <t>Z01</t>
  </si>
  <si>
    <t>Zone 1</t>
  </si>
  <si>
    <t>Primary zone</t>
  </si>
  <si>
    <t>Z02</t>
  </si>
  <si>
    <t>Zone 2</t>
  </si>
  <si>
    <t>Secondary zone</t>
  </si>
  <si>
    <t>Z03</t>
  </si>
  <si>
    <t>Zone 3</t>
  </si>
  <si>
    <t>Tertiary zone</t>
  </si>
  <si>
    <t>Z04</t>
  </si>
  <si>
    <t>Zone 4</t>
  </si>
  <si>
    <t>Fourth zone</t>
  </si>
  <si>
    <t>Z05</t>
  </si>
  <si>
    <t>Zone 5</t>
  </si>
  <si>
    <t>Fifth zone</t>
  </si>
  <si>
    <t>COR</t>
  </si>
  <si>
    <t>Corridor</t>
  </si>
  <si>
    <t>Circulation areas</t>
  </si>
  <si>
    <t>EXT</t>
  </si>
  <si>
    <t>External</t>
  </si>
  <si>
    <t>Outdoor equipment</t>
  </si>
  <si>
    <t>PKG</t>
  </si>
  <si>
    <t>Parking</t>
  </si>
  <si>
    <t>Parking garage</t>
  </si>
  <si>
    <t>PLANT</t>
  </si>
  <si>
    <t>Plant Room</t>
  </si>
  <si>
    <t>MEP plant room</t>
  </si>
  <si>
    <t>ROOF</t>
  </si>
  <si>
    <t>Roof equipment</t>
  </si>
  <si>
    <t>SVC</t>
  </si>
  <si>
    <t>Service</t>
  </si>
  <si>
    <t>Service areas</t>
  </si>
  <si>
    <t>UTIL</t>
  </si>
  <si>
    <t>Utility</t>
  </si>
  <si>
    <t>Utility rooms</t>
  </si>
  <si>
    <t>DISCIPLINE CODES - ISO 19650-2</t>
  </si>
  <si>
    <t>C</t>
  </si>
  <si>
    <t>Controls/BMS</t>
  </si>
  <si>
    <t>ISO 16484</t>
  </si>
  <si>
    <t>D</t>
  </si>
  <si>
    <t>Data/Telecom</t>
  </si>
  <si>
    <t>ISO/IEC 11801</t>
  </si>
  <si>
    <t>E</t>
  </si>
  <si>
    <t>Electrical</t>
  </si>
  <si>
    <t>IEC 60364</t>
  </si>
  <si>
    <t>F</t>
  </si>
  <si>
    <t>Fire Protection</t>
  </si>
  <si>
    <t>NFPA 13</t>
  </si>
  <si>
    <t>Fire Alarm</t>
  </si>
  <si>
    <t>NFPA 72</t>
  </si>
  <si>
    <t>KIT</t>
  </si>
  <si>
    <t>Kitchen</t>
  </si>
  <si>
    <t>NFPA 96</t>
  </si>
  <si>
    <t>L</t>
  </si>
  <si>
    <t>Lighting</t>
  </si>
  <si>
    <t>IEC 60598</t>
  </si>
  <si>
    <t>LAB</t>
  </si>
  <si>
    <t>Laboratory</t>
  </si>
  <si>
    <t>Lab systems</t>
  </si>
  <si>
    <t>LAU</t>
  </si>
  <si>
    <t>Laundry</t>
  </si>
  <si>
    <t>Laundry equipment</t>
  </si>
  <si>
    <t>M</t>
  </si>
  <si>
    <t>Mechanical</t>
  </si>
  <si>
    <t>ASHRAE</t>
  </si>
  <si>
    <t>MG</t>
  </si>
  <si>
    <t>Medical Gas</t>
  </si>
  <si>
    <t>ISO 7396</t>
  </si>
  <si>
    <t>P</t>
  </si>
  <si>
    <t>Plumbing</t>
  </si>
  <si>
    <t>ISO 15874</t>
  </si>
  <si>
    <t>RE</t>
  </si>
  <si>
    <t>Renewable</t>
  </si>
  <si>
    <t>Solar/wind</t>
  </si>
  <si>
    <t>S</t>
  </si>
  <si>
    <t>Security</t>
  </si>
  <si>
    <t>Access/CCTV</t>
  </si>
  <si>
    <t>VT</t>
  </si>
  <si>
    <t>Vertical Transport</t>
  </si>
  <si>
    <t>Elevators</t>
  </si>
  <si>
    <t>HVAC LOAD CALCULATIONS - COOLING</t>
  </si>
  <si>
    <t>Calculation Method: ASHRAE Fundamentals (Uganda Climate)</t>
  </si>
  <si>
    <t>25mm fiberglass blanket</t>
  </si>
  <si>
    <t>Direct Digital Control</t>
  </si>
  <si>
    <t>Floor mounted</t>
  </si>
  <si>
    <t>Zone/Space</t>
  </si>
  <si>
    <t>50mm fiberglass blanket</t>
  </si>
  <si>
    <t>Sensible (kW)</t>
  </si>
  <si>
    <t>On/Off control</t>
  </si>
  <si>
    <t>Tons (TR)</t>
  </si>
  <si>
    <t>Wall mounted</t>
  </si>
  <si>
    <t>Office Open Plan</t>
  </si>
  <si>
    <t>13mm elastomeric foam</t>
  </si>
  <si>
    <t>Variable Frequency Drive</t>
  </si>
  <si>
    <t>Ceiling mounted</t>
  </si>
  <si>
    <t>Meeting Rooms</t>
  </si>
  <si>
    <t>19mm elastomeric foam</t>
  </si>
  <si>
    <t>PID</t>
  </si>
  <si>
    <t>PID Controller</t>
  </si>
  <si>
    <t>Roof mounted</t>
  </si>
  <si>
    <t>Server Room</t>
  </si>
  <si>
    <t>25mm elastomeric foam</t>
  </si>
  <si>
    <t>MOD</t>
  </si>
  <si>
    <t>Modulating Control</t>
  </si>
  <si>
    <t>Suspended from structure</t>
  </si>
  <si>
    <t>Lobby/Reception</t>
  </si>
  <si>
    <t>Rockwool 50mm</t>
  </si>
  <si>
    <t>50mm mineral wool</t>
  </si>
  <si>
    <t>2POS</t>
  </si>
  <si>
    <t>2-Position Control</t>
  </si>
  <si>
    <t>Ground</t>
  </si>
  <si>
    <t>Ground level pad</t>
  </si>
  <si>
    <t>PIR 40mm</t>
  </si>
  <si>
    <t>40mm PIR board</t>
  </si>
  <si>
    <t>3POS</t>
  </si>
  <si>
    <t>3-Position Control</t>
  </si>
  <si>
    <t>Recess</t>
  </si>
  <si>
    <t>Recessed installation</t>
  </si>
  <si>
    <t>None</t>
  </si>
  <si>
    <t>No insulation</t>
  </si>
  <si>
    <t>MECHANICAL DESIGN CONDITIONS - UGANDA (ISO 19650 COMPLIANT)</t>
  </si>
  <si>
    <t>Unnamed: 1</t>
  </si>
  <si>
    <t>Unnamed: 2</t>
  </si>
  <si>
    <t>Unnamed: 3</t>
  </si>
  <si>
    <t>Unnamed: 4</t>
  </si>
  <si>
    <t>Unnamed: 5</t>
  </si>
  <si>
    <t>Parameter</t>
  </si>
  <si>
    <t>Summer</t>
  </si>
  <si>
    <t>Winter</t>
  </si>
  <si>
    <t>Standard</t>
  </si>
  <si>
    <t>Outdoor Dry Bulb Temp</t>
  </si>
  <si>
    <t>30</t>
  </si>
  <si>
    <t>18</t>
  </si>
  <si>
    <t>°C</t>
  </si>
  <si>
    <t>2.5% design conditions</t>
  </si>
  <si>
    <t>Outdoor Wet Bulb Temp</t>
  </si>
  <si>
    <t>24</t>
  </si>
  <si>
    <t>15</t>
  </si>
  <si>
    <t>Indoor Temp - Office</t>
  </si>
  <si>
    <t>24 ± 1</t>
  </si>
  <si>
    <t>22 ± 1</t>
  </si>
  <si>
    <t>Comfort range</t>
  </si>
  <si>
    <t>ASHRAE 55</t>
  </si>
  <si>
    <t>Indoor Temp - Retail</t>
  </si>
  <si>
    <t>24 ± 2</t>
  </si>
  <si>
    <t>22 ± 2</t>
  </si>
  <si>
    <t>Customer comfort</t>
  </si>
  <si>
    <t>Indoor Relative Humidity</t>
  </si>
  <si>
    <t>50 ± 10</t>
  </si>
  <si>
    <t>40 ± 10</t>
  </si>
  <si>
    <t>Ventilation Rate - Office</t>
  </si>
  <si>
    <t>10</t>
  </si>
  <si>
    <t>L/s/person</t>
  </si>
  <si>
    <t>Fresh air minimum</t>
  </si>
  <si>
    <t>ASHRAE 62.1</t>
  </si>
  <si>
    <t>Ventilation Rate - Meeting</t>
  </si>
  <si>
    <t>Higher occupancy</t>
  </si>
  <si>
    <t>Air Changes - Toilet</t>
  </si>
  <si>
    <t>8-10</t>
  </si>
  <si>
    <t>Exhaust only</t>
  </si>
  <si>
    <t>Air Changes - Car Park</t>
  </si>
  <si>
    <t>6-10</t>
  </si>
  <si>
    <t>CO monitoring</t>
  </si>
  <si>
    <t>Air Changes - Kitchen</t>
  </si>
  <si>
    <t>20-30</t>
  </si>
  <si>
    <t>Make-up air required</t>
  </si>
  <si>
    <t>Altitude - Kampala</t>
  </si>
  <si>
    <t>1190</t>
  </si>
  <si>
    <t>Above sea level</t>
  </si>
  <si>
    <t>-</t>
  </si>
  <si>
    <t>Atmospheric Pressure</t>
  </si>
  <si>
    <t>88.3</t>
  </si>
  <si>
    <t>At 1190m altitude</t>
  </si>
  <si>
    <t>BMS CONTROLS, DATA &amp; TELECOMMUNICATIONS</t>
  </si>
  <si>
    <t>Section 7.2 - SENSORS &amp; TRANSMITTERS per ISO 16484-2</t>
  </si>
  <si>
    <t>Section 7.3 - ACTUATORS per ISO 16484-2</t>
  </si>
  <si>
    <t>Section 7.4 - INTERFACE DEVICES per ISO 16484-2</t>
  </si>
  <si>
    <t>Section 7.5 - NETWORK DEVICES per ISO 16484-5</t>
  </si>
  <si>
    <t>Section 8.1 - STRUCTURED CABLING per ISO/IEC 11801</t>
  </si>
  <si>
    <t>Section 8.2 - ACTIVE NETWORK EQUIPMENT per IEEE 802.3</t>
  </si>
  <si>
    <t>BMS POINTS CALCULATOR</t>
  </si>
  <si>
    <t>Air Flow Controller</t>
  </si>
  <si>
    <t>Air flow tracking controller</t>
  </si>
  <si>
    <t>AFPS</t>
  </si>
  <si>
    <t>Air Flow Pressure Sensor</t>
  </si>
  <si>
    <t>Differential pressure air flow sensor</t>
  </si>
  <si>
    <t>2PDACT</t>
  </si>
  <si>
    <t>2-Position Damper Actuator</t>
  </si>
  <si>
    <t>Two-position on/off damper actuator</t>
  </si>
  <si>
    <t>AIM</t>
  </si>
  <si>
    <t>Analog Input Module</t>
  </si>
  <si>
    <t>Multi-channel analog input module</t>
  </si>
  <si>
    <t>HMI</t>
  </si>
  <si>
    <t>Human Machine Interface</t>
  </si>
  <si>
    <t>Operator HMI touchscreen per ISO 16484-3</t>
  </si>
  <si>
    <t>24PP</t>
  </si>
  <si>
    <t>24-Port Patch Panel</t>
  </si>
  <si>
    <t>24-port Cat5e/Cat6 patch panel</t>
  </si>
  <si>
    <t>10GSW</t>
  </si>
  <si>
    <t>10-Gigabit Switch</t>
  </si>
  <si>
    <t>10GbE network switch per IEEE 802.3ae</t>
  </si>
  <si>
    <t>Equipment Type</t>
  </si>
  <si>
    <t>Quantity</t>
  </si>
  <si>
    <t>Points/Unit</t>
  </si>
  <si>
    <t>Total Points</t>
  </si>
  <si>
    <t>AFS</t>
  </si>
  <si>
    <t>Air Flow Sensor</t>
  </si>
  <si>
    <t>Air velocity/flow sensor</t>
  </si>
  <si>
    <t>2PVACT</t>
  </si>
  <si>
    <t>2-Position Valve Actuator</t>
  </si>
  <si>
    <t>Two-position on/off valve actuator</t>
  </si>
  <si>
    <t>AOM</t>
  </si>
  <si>
    <t>Analog Output Module</t>
  </si>
  <si>
    <t>Multi-channel analog output module</t>
  </si>
  <si>
    <t>LONGTW</t>
  </si>
  <si>
    <t>LonWorks Gateway</t>
  </si>
  <si>
    <t>LonWorks to BACnet gateway</t>
  </si>
  <si>
    <t>48PP</t>
  </si>
  <si>
    <t>48-Port Patch Panel</t>
  </si>
  <si>
    <t>48-port Cat5e/Cat6 patch panel</t>
  </si>
  <si>
    <t>ACCESS</t>
  </si>
  <si>
    <t>Access Switch</t>
  </si>
  <si>
    <t>Access layer switch</t>
  </si>
  <si>
    <t>AHU</t>
  </si>
  <si>
    <t>AFSS</t>
  </si>
  <si>
    <t>Air Flow Switch</t>
  </si>
  <si>
    <t>Air flow proving switch</t>
  </si>
  <si>
    <t>3WVACT</t>
  </si>
  <si>
    <t>3-Way Valve Actuator</t>
  </si>
  <si>
    <t>Three-way mixing valve actuator</t>
  </si>
  <si>
    <t>BACGTW</t>
  </si>
  <si>
    <t>BACnet Gateway</t>
  </si>
  <si>
    <t>BACnet protocol gateway per ISO 16484-5</t>
  </si>
  <si>
    <t>MOBGTW</t>
  </si>
  <si>
    <t>Modbus Gateway</t>
  </si>
  <si>
    <t>Modbus to BACnet gateway</t>
  </si>
  <si>
    <t>APPS</t>
  </si>
  <si>
    <t>Angled Patch Panel</t>
  </si>
  <si>
    <t>Angled keystone patch panel</t>
  </si>
  <si>
    <t>AP</t>
  </si>
  <si>
    <t>Access Point</t>
  </si>
  <si>
    <t>Wireless access point per IEEE 802.11ax</t>
  </si>
  <si>
    <t>COS</t>
  </si>
  <si>
    <t>Carbon dioxide sensor per ISO 16000-26</t>
  </si>
  <si>
    <t>Modulating damper actuator per ISO 16484</t>
  </si>
  <si>
    <t>DIM</t>
  </si>
  <si>
    <t>Digital Input Module</t>
  </si>
  <si>
    <t>Multi-point digital input module</t>
  </si>
  <si>
    <t>NAE</t>
  </si>
  <si>
    <t>Network Automation Engine</t>
  </si>
  <si>
    <t>Building automation server per ISO 16484</t>
  </si>
  <si>
    <t>CM</t>
  </si>
  <si>
    <t>Cable Manager</t>
  </si>
  <si>
    <t>Horizontal/vertical cable manager</t>
  </si>
  <si>
    <t>BRTR</t>
  </si>
  <si>
    <t>Border Router</t>
  </si>
  <si>
    <t>Border/edge router</t>
  </si>
  <si>
    <t>VAV Box</t>
  </si>
  <si>
    <t>DHS</t>
  </si>
  <si>
    <t>Duct Humidity Sensor</t>
  </si>
  <si>
    <t>Duct-mounted RH sensor</t>
  </si>
  <si>
    <t>MACT</t>
  </si>
  <si>
    <t>Motor Actuator</t>
  </si>
  <si>
    <t>General motor actuator</t>
  </si>
  <si>
    <t>DOM</t>
  </si>
  <si>
    <t>Digital Output Module</t>
  </si>
  <si>
    <t>Multi-point digital output module</t>
  </si>
  <si>
    <t>NCS</t>
  </si>
  <si>
    <t>Network Control System</t>
  </si>
  <si>
    <t>Network control system</t>
  </si>
  <si>
    <t>CPP</t>
  </si>
  <si>
    <t>Copper Patch Panel</t>
  </si>
  <si>
    <t>Copper UTP patch panel per ISO/IEC 11801</t>
  </si>
  <si>
    <t>CORESW</t>
  </si>
  <si>
    <t>Core Switch</t>
  </si>
  <si>
    <t>Core network switch</t>
  </si>
  <si>
    <t>DPS</t>
  </si>
  <si>
    <t>Differential Pressure Sensor</t>
  </si>
  <si>
    <t>ΔP transmitter per IEC 61326</t>
  </si>
  <si>
    <t>MDACT</t>
  </si>
  <si>
    <t>Modulating Damper Actuator</t>
  </si>
  <si>
    <t>Proportional damper actuator 0-10V/4-20mA</t>
  </si>
  <si>
    <t>EXM</t>
  </si>
  <si>
    <t>Expansion Module</t>
  </si>
  <si>
    <t>Controller I/O expansion module</t>
  </si>
  <si>
    <t>OWS</t>
  </si>
  <si>
    <t>Operator Workstation</t>
  </si>
  <si>
    <t>BAS operator workstation</t>
  </si>
  <si>
    <t>DDO</t>
  </si>
  <si>
    <t>Double Data Outlet</t>
  </si>
  <si>
    <t>Dual-port RJ45 outlet</t>
  </si>
  <si>
    <t>DISTSW</t>
  </si>
  <si>
    <t>Distribution Switch</t>
  </si>
  <si>
    <t>Distribution layer switch</t>
  </si>
  <si>
    <t>Pump</t>
  </si>
  <si>
    <t>DTS</t>
  </si>
  <si>
    <t>Duct Temperature Sensor</t>
  </si>
  <si>
    <t>Duct air temperature sensor</t>
  </si>
  <si>
    <t>MVACT</t>
  </si>
  <si>
    <t>Modulating Valve Actuator</t>
  </si>
  <si>
    <t>Proportional valve actuator 0-10V/4-20mA</t>
  </si>
  <si>
    <t>GTW</t>
  </si>
  <si>
    <t>Gateway</t>
  </si>
  <si>
    <t>Protocol conversion gateway</t>
  </si>
  <si>
    <t>PWS</t>
  </si>
  <si>
    <t>Portable Workstation</t>
  </si>
  <si>
    <t>Portable commissioning workstation</t>
  </si>
  <si>
    <t>DO</t>
  </si>
  <si>
    <t>Data Outlet</t>
  </si>
  <si>
    <t>Single RJ45 data outlet per ISO/IEC 11801-1</t>
  </si>
  <si>
    <t>EAP</t>
  </si>
  <si>
    <t>External Access Point</t>
  </si>
  <si>
    <t>Outdoor wireless AP</t>
  </si>
  <si>
    <t>Temperature Sensor</t>
  </si>
  <si>
    <t>HS</t>
  </si>
  <si>
    <t>Humidity Sensor</t>
  </si>
  <si>
    <t>Relative humidity sensor</t>
  </si>
  <si>
    <t>ROACT</t>
  </si>
  <si>
    <t>Rotary Actuator</t>
  </si>
  <si>
    <t>Rotary valve/damper actuator</t>
  </si>
  <si>
    <t>IOEXP</t>
  </si>
  <si>
    <t>I/O Expansion</t>
  </si>
  <si>
    <t>Input/output expansion module</t>
  </si>
  <si>
    <t>FO</t>
  </si>
  <si>
    <t>Fiber Outlet</t>
  </si>
  <si>
    <t>Fiber optic wall outlet</t>
  </si>
  <si>
    <t>ERTR</t>
  </si>
  <si>
    <t>Edge Router</t>
  </si>
  <si>
    <t>Edge router</t>
  </si>
  <si>
    <t>Pressure Sensor</t>
  </si>
  <si>
    <t>ITS</t>
  </si>
  <si>
    <t>Immersion Temperature Sensor</t>
  </si>
  <si>
    <t>Immersion/well temperature sensor</t>
  </si>
  <si>
    <t>SRDACT</t>
  </si>
  <si>
    <t>Spring Return Damper Actuator</t>
  </si>
  <si>
    <t>Fail-safe spring return actuator</t>
  </si>
  <si>
    <t>RMOD</t>
  </si>
  <si>
    <t>Relay Output Module</t>
  </si>
  <si>
    <t>Multi-relay output module</t>
  </si>
  <si>
    <t>FPCC</t>
  </si>
  <si>
    <t>Front Panel Cable Cover</t>
  </si>
  <si>
    <t>Patch panel cable management cover</t>
  </si>
  <si>
    <t>GESW</t>
  </si>
  <si>
    <t>Gigabit Ethernet Switch</t>
  </si>
  <si>
    <t>1GbE switch per IEEE 802.3ab</t>
  </si>
  <si>
    <t>Flow Meter</t>
  </si>
  <si>
    <t>OTS</t>
  </si>
  <si>
    <t>Outdoor Temperature Sensor</t>
  </si>
  <si>
    <t>Outdoor ambient temperature sensor</t>
  </si>
  <si>
    <t>VACT</t>
  </si>
  <si>
    <t>Valve Actuator</t>
  </si>
  <si>
    <t>Control valve actuator per ISO 16484</t>
  </si>
  <si>
    <t>UIM</t>
  </si>
  <si>
    <t>Universal Input Module</t>
  </si>
  <si>
    <t>Configurable universal input module</t>
  </si>
  <si>
    <t>FPP</t>
  </si>
  <si>
    <t>Fiber Patch Panel</t>
  </si>
  <si>
    <t>Fiber optic patch panel LC/SC per ISO/IEC 11801-2</t>
  </si>
  <si>
    <t>IAP</t>
  </si>
  <si>
    <t>Indoor Access Point</t>
  </si>
  <si>
    <t>Indoor ceiling/wall AP</t>
  </si>
  <si>
    <t>UAC</t>
  </si>
  <si>
    <t>Unitary Application Controller</t>
  </si>
  <si>
    <t>Equipment-level unitary controller</t>
  </si>
  <si>
    <t>PMS</t>
  </si>
  <si>
    <t>Particulate Matter Sensor</t>
  </si>
  <si>
    <t>PM2.5/PM10 air quality sensor</t>
  </si>
  <si>
    <t>HCM</t>
  </si>
  <si>
    <t>Horizontal Cable Manager</t>
  </si>
  <si>
    <t>Horizontal cable management</t>
  </si>
  <si>
    <t>MESH</t>
  </si>
  <si>
    <t>Mesh Access Point</t>
  </si>
  <si>
    <t>Wireless mesh AP</t>
  </si>
  <si>
    <t>Total BMS Points:</t>
  </si>
  <si>
    <t>VAV Box Controller</t>
  </si>
  <si>
    <t>VAV terminal unit controller per ASHRAE 135</t>
  </si>
  <si>
    <t>PS</t>
  </si>
  <si>
    <t>Absolute/gauge pressure transmitter</t>
  </si>
  <si>
    <t>PP</t>
  </si>
  <si>
    <t>Patch Panel</t>
  </si>
  <si>
    <t>General patch panel</t>
  </si>
  <si>
    <t>NSW</t>
  </si>
  <si>
    <t>Network Switch</t>
  </si>
  <si>
    <t>Managed network switch</t>
  </si>
  <si>
    <t>Controllers Required (50 pts/controller):</t>
  </si>
  <si>
    <t>RHS</t>
  </si>
  <si>
    <t>Room Humidity Sensor</t>
  </si>
  <si>
    <t>Room relative humidity sensor</t>
  </si>
  <si>
    <t>QDO</t>
  </si>
  <si>
    <t>Quad Data Outlet</t>
  </si>
  <si>
    <t>Quad-port RJ45 outlet</t>
  </si>
  <si>
    <t>POESW</t>
  </si>
  <si>
    <t>PoE Switch</t>
  </si>
  <si>
    <t>Power over Ethernet switch per IEEE 802.3af/at/bt</t>
  </si>
  <si>
    <t>RTS</t>
  </si>
  <si>
    <t>Room Temperature Sensor</t>
  </si>
  <si>
    <t>Room temperature sensor per ISO 7730</t>
  </si>
  <si>
    <t>SDO</t>
  </si>
  <si>
    <t>Single Data Outlet</t>
  </si>
  <si>
    <t>Single-port data outlet</t>
  </si>
  <si>
    <t>RTR</t>
  </si>
  <si>
    <t>Router</t>
  </si>
  <si>
    <t>Network router</t>
  </si>
  <si>
    <t>THS</t>
  </si>
  <si>
    <t>Temperature/Humidity Sensor</t>
  </si>
  <si>
    <t>Combined temp/RH sensor</t>
  </si>
  <si>
    <t>VCM</t>
  </si>
  <si>
    <t>Vertical Cable Manager</t>
  </si>
  <si>
    <t>Vertical cable management system</t>
  </si>
  <si>
    <t>WAP</t>
  </si>
  <si>
    <t>Wall Access Point</t>
  </si>
  <si>
    <t>Wall-mounted wireless AP</t>
  </si>
  <si>
    <t>TS</t>
  </si>
  <si>
    <t>Temperature transmitter per IEC 60751</t>
  </si>
  <si>
    <t>WLRTR</t>
  </si>
  <si>
    <t>Wireless Router</t>
  </si>
  <si>
    <t>Integrated wireless router</t>
  </si>
  <si>
    <t>VOCS</t>
  </si>
  <si>
    <t>VOC Sensor</t>
  </si>
  <si>
    <t>Volatile organic compound sensor</t>
  </si>
  <si>
    <t>PLANTC</t>
  </si>
  <si>
    <t>Plant Controller</t>
  </si>
  <si>
    <t>Central plant optimization controller</t>
  </si>
  <si>
    <t>WFS</t>
  </si>
  <si>
    <t>Water Flow Sensor</t>
  </si>
  <si>
    <t>Water flow meter/sensor</t>
  </si>
  <si>
    <t>ZONEC</t>
  </si>
  <si>
    <t>Zone Controller</t>
  </si>
  <si>
    <t>Zone-level temperature/HVAC controller</t>
  </si>
  <si>
    <t>WFSS</t>
  </si>
  <si>
    <t>Water Flow Switch</t>
  </si>
  <si>
    <t>Water flow proving switch</t>
  </si>
  <si>
    <t>LIGHTC</t>
  </si>
  <si>
    <t>Lighting Controller</t>
  </si>
  <si>
    <t>Lighting control system per ISO 16484-2</t>
  </si>
  <si>
    <t>WPS</t>
  </si>
  <si>
    <t>Water Pressure Sensor</t>
  </si>
  <si>
    <t>Water pressure transmitter</t>
  </si>
  <si>
    <t>ENERGYC</t>
  </si>
  <si>
    <t>Energy Controller</t>
  </si>
  <si>
    <t>Energy management controller</t>
  </si>
  <si>
    <t>CTS</t>
  </si>
  <si>
    <t>Chilled Water Temp Sensor</t>
  </si>
  <si>
    <t>CHW supply/return temperature sensor</t>
  </si>
  <si>
    <t>HTS</t>
  </si>
  <si>
    <t>Hot Water Temp Sensor</t>
  </si>
  <si>
    <t>HW supply/return temperature sensor</t>
  </si>
  <si>
    <t>PRESSS</t>
  </si>
  <si>
    <t>Differential pressure sensor</t>
  </si>
  <si>
    <t>FLOWS</t>
  </si>
  <si>
    <t>Flow Sensor</t>
  </si>
  <si>
    <t>Water/air flow sensor</t>
  </si>
  <si>
    <t>POWERM</t>
  </si>
  <si>
    <t>Power Meter</t>
  </si>
  <si>
    <t>Energy/power monitoring meter</t>
  </si>
  <si>
    <t>CO2S</t>
  </si>
  <si>
    <t>Carbon dioxide sensor for IAQ</t>
  </si>
  <si>
    <t>VOQS</t>
  </si>
  <si>
    <t>MVALVE</t>
  </si>
  <si>
    <t>Motorized Valve</t>
  </si>
  <si>
    <t>Motorized control valve 2/3-way</t>
  </si>
  <si>
    <t>BVALVE</t>
  </si>
  <si>
    <t>Ball Valve Actuator</t>
  </si>
  <si>
    <t>Actuated ball valve</t>
  </si>
  <si>
    <t>Motorized damper actuator</t>
  </si>
  <si>
    <t>ROUTER</t>
  </si>
  <si>
    <t>Network Router</t>
  </si>
  <si>
    <t>BACnet/IP router per ISO 16484-5</t>
  </si>
  <si>
    <t>MSTP</t>
  </si>
  <si>
    <t>MS/TP Network</t>
  </si>
  <si>
    <t>BACnet MS/TP network per ISO 16484-5</t>
  </si>
  <si>
    <t>GATEWAY</t>
  </si>
  <si>
    <t>Protocol Gateway</t>
  </si>
  <si>
    <t>Multi-protocol gateway device</t>
  </si>
  <si>
    <t>NFPA 72/13 - FIRE PROTECTION &amp; ALARM SYSTEMS</t>
  </si>
  <si>
    <t>MANUAL DEVICES</t>
  </si>
  <si>
    <t>NOTIFICATION DEVICES</t>
  </si>
  <si>
    <t>CONTROL EQUIPMENT</t>
  </si>
  <si>
    <t>FIRE ALARM DEVICE CALCULATOR</t>
  </si>
  <si>
    <t>SPRINKLER DESIGN PARAMETERS</t>
  </si>
  <si>
    <t>ADDR</t>
  </si>
  <si>
    <t>Addressable Manual</t>
  </si>
  <si>
    <t>Addressable pull</t>
  </si>
  <si>
    <t>BCON</t>
  </si>
  <si>
    <t>Beacon</t>
  </si>
  <si>
    <t>Visual beacon</t>
  </si>
  <si>
    <t>ANN</t>
  </si>
  <si>
    <t>Annunciator</t>
  </si>
  <si>
    <t>Remote annunciator</t>
  </si>
  <si>
    <t>Building Area (m²):</t>
  </si>
  <si>
    <t>Hazard Classification:</t>
  </si>
  <si>
    <t>Ordinary Hazard Group 1</t>
  </si>
  <si>
    <t>Break Glass</t>
  </si>
  <si>
    <t>Break glass</t>
  </si>
  <si>
    <t>BEL</t>
  </si>
  <si>
    <t>Bell</t>
  </si>
  <si>
    <t>Alarm bell</t>
  </si>
  <si>
    <t>CFACP</t>
  </si>
  <si>
    <t>Conventional FACP</t>
  </si>
  <si>
    <t>Conventional panel</t>
  </si>
  <si>
    <t>Number of Floors:</t>
  </si>
  <si>
    <t>Addressable analog</t>
  </si>
  <si>
    <t>Design Density (mm/min):</t>
  </si>
  <si>
    <t>Manual Call Point</t>
  </si>
  <si>
    <t>Manual alarm</t>
  </si>
  <si>
    <t>BSTB</t>
  </si>
  <si>
    <t>Bell/Strobe</t>
  </si>
  <si>
    <t>Combined</t>
  </si>
  <si>
    <t>FACP</t>
  </si>
  <si>
    <t>Fire Alarm Panel</t>
  </si>
  <si>
    <t>Main panel</t>
  </si>
  <si>
    <t>Smoke Detectors Required:</t>
  </si>
  <si>
    <t>Air sampling</t>
  </si>
  <si>
    <t>Design Area (m²):</t>
  </si>
  <si>
    <t>Pull Station</t>
  </si>
  <si>
    <t>Pull station</t>
  </si>
  <si>
    <t>HORN</t>
  </si>
  <si>
    <t>Horn</t>
  </si>
  <si>
    <t>Alarm horn</t>
  </si>
  <si>
    <t>IOMOD</t>
  </si>
  <si>
    <t>I/O Module</t>
  </si>
  <si>
    <t>Input/output</t>
  </si>
  <si>
    <t>Heat Detectors Required:</t>
  </si>
  <si>
    <t>Projected beam</t>
  </si>
  <si>
    <t>Sprinkler Spacing (m):</t>
  </si>
  <si>
    <t>Reset Point</t>
  </si>
  <si>
    <t>System reset</t>
  </si>
  <si>
    <t>HSTB</t>
  </si>
  <si>
    <t>Horn/Strobe</t>
  </si>
  <si>
    <t>ISOMOD</t>
  </si>
  <si>
    <t>Isolation Module</t>
  </si>
  <si>
    <t>Isolator</t>
  </si>
  <si>
    <t>Manual Call Points:</t>
  </si>
  <si>
    <t>Combined detector</t>
  </si>
  <si>
    <t>Water Flow Required (L/min):</t>
  </si>
  <si>
    <t>Test Point</t>
  </si>
  <si>
    <t>System test</t>
  </si>
  <si>
    <t>LED</t>
  </si>
  <si>
    <t>LED Indicator</t>
  </si>
  <si>
    <t>LED status</t>
  </si>
  <si>
    <t>MON</t>
  </si>
  <si>
    <t>Monitor Module</t>
  </si>
  <si>
    <t>Supervisory</t>
  </si>
  <si>
    <t>Notification Devices:</t>
  </si>
  <si>
    <t>Carbon dioxide</t>
  </si>
  <si>
    <t>Number of Sprinklers:</t>
  </si>
  <si>
    <t>SIREN</t>
  </si>
  <si>
    <t>Siren</t>
  </si>
  <si>
    <t>Alarm siren</t>
  </si>
  <si>
    <t>NFACP</t>
  </si>
  <si>
    <t>Network FACP</t>
  </si>
  <si>
    <t>Networked panel</t>
  </si>
  <si>
    <t>Total Loop Loading:</t>
  </si>
  <si>
    <t>Carbon monoxide</t>
  </si>
  <si>
    <t>STB</t>
  </si>
  <si>
    <t>Strobe</t>
  </si>
  <si>
    <t>Visual strobe</t>
  </si>
  <si>
    <t>RANN</t>
  </si>
  <si>
    <t>Remote Annunciator</t>
  </si>
  <si>
    <t>Remote display</t>
  </si>
  <si>
    <t>DSD</t>
  </si>
  <si>
    <t>Duct Smoke Detector</t>
  </si>
  <si>
    <t>HVAC duct</t>
  </si>
  <si>
    <t>TONE</t>
  </si>
  <si>
    <t>Tone Generator</t>
  </si>
  <si>
    <t>Audible tone</t>
  </si>
  <si>
    <t>Relay Module</t>
  </si>
  <si>
    <t>Control relay</t>
  </si>
  <si>
    <t>FHD</t>
  </si>
  <si>
    <t>Fixed Temp Heat</t>
  </si>
  <si>
    <t>Fixed temperature</t>
  </si>
  <si>
    <t>VSA</t>
  </si>
  <si>
    <t>Visual/Sounder</t>
  </si>
  <si>
    <t>RP</t>
  </si>
  <si>
    <t>Repeater Panel</t>
  </si>
  <si>
    <t>Signal repeater</t>
  </si>
  <si>
    <t>GD</t>
  </si>
  <si>
    <t>Gas Detector</t>
  </si>
  <si>
    <t>Combustible gas</t>
  </si>
  <si>
    <t>HD</t>
  </si>
  <si>
    <t>Heat Detector</t>
  </si>
  <si>
    <t>General heat</t>
  </si>
  <si>
    <t>INTDET</t>
  </si>
  <si>
    <t>Intelligent Detector</t>
  </si>
  <si>
    <t>Addressable</t>
  </si>
  <si>
    <t>ISD</t>
  </si>
  <si>
    <t>Ionization Smoke</t>
  </si>
  <si>
    <t>Ionization type</t>
  </si>
  <si>
    <t>LHD</t>
  </si>
  <si>
    <t>Linear Heat</t>
  </si>
  <si>
    <t>Linear detection</t>
  </si>
  <si>
    <t>MSD</t>
  </si>
  <si>
    <t>Multi-Sensor</t>
  </si>
  <si>
    <t>PSD</t>
  </si>
  <si>
    <t>Photoelectric Smoke</t>
  </si>
  <si>
    <t>Photoelectric</t>
  </si>
  <si>
    <t>RHD</t>
  </si>
  <si>
    <t>Rate-of-Rise Heat</t>
  </si>
  <si>
    <t>ROR type</t>
  </si>
  <si>
    <t>Smoke Detector</t>
  </si>
  <si>
    <t>General smoke</t>
  </si>
  <si>
    <t>SPRINKLER HEADS - NFPA 13</t>
  </si>
  <si>
    <t>PEN</t>
  </si>
  <si>
    <t>Pendent Sprinkler</t>
  </si>
  <si>
    <t>Standard spray pendent per NFPA 13</t>
  </si>
  <si>
    <t>UPR</t>
  </si>
  <si>
    <t>Upright Sprinkler</t>
  </si>
  <si>
    <t>Standard spray upright</t>
  </si>
  <si>
    <t>SW</t>
  </si>
  <si>
    <t>Sidewall Sprinkler</t>
  </si>
  <si>
    <t>Sidewall spray head</t>
  </si>
  <si>
    <t>CWSS</t>
  </si>
  <si>
    <t>Concealed Sprinkler</t>
  </si>
  <si>
    <t>Flush concealed pendent</t>
  </si>
  <si>
    <t>ESFR</t>
  </si>
  <si>
    <t>ESFR Sprinkler</t>
  </si>
  <si>
    <t>Early Suppression Fast Response</t>
  </si>
  <si>
    <t>DRYSP</t>
  </si>
  <si>
    <t>Dry Sprinkler</t>
  </si>
  <si>
    <t>Dry pendant for cold areas</t>
  </si>
  <si>
    <t>FIRE PUMPS &amp; EQUIPMENT - NFPA 20</t>
  </si>
  <si>
    <t>FPUMP</t>
  </si>
  <si>
    <t>Fire Pump</t>
  </si>
  <si>
    <t>Electric/diesel fire pump per NFPA 20</t>
  </si>
  <si>
    <t>JOCKP</t>
  </si>
  <si>
    <t>Jockey Pump</t>
  </si>
  <si>
    <t>Pressure maintenance pump</t>
  </si>
  <si>
    <t>RISER</t>
  </si>
  <si>
    <t>Fire Riser</t>
  </si>
  <si>
    <t>Vertical fire main</t>
  </si>
  <si>
    <t>FHC</t>
  </si>
  <si>
    <t>Fire Hose Cabinet</t>
  </si>
  <si>
    <t>Hose reel cabinet per NFPA 14</t>
  </si>
  <si>
    <t>FHYDR</t>
  </si>
  <si>
    <t>Fire Hydrant</t>
  </si>
  <si>
    <t>External fire hydrant</t>
  </si>
  <si>
    <t>FDC</t>
  </si>
  <si>
    <t>Fire Dept Connection</t>
  </si>
  <si>
    <t>Siamese fire department connection</t>
  </si>
  <si>
    <t>FIRE SUPPRESSION - NFPA 2001 / FM-200</t>
  </si>
  <si>
    <t>FM200</t>
  </si>
  <si>
    <t>FM-200 System</t>
  </si>
  <si>
    <t>Clean agent suppression per NFPA 2001</t>
  </si>
  <si>
    <t>CO2SUP</t>
  </si>
  <si>
    <t>CO2 Suppression</t>
  </si>
  <si>
    <t>Carbon dioxide suppression</t>
  </si>
  <si>
    <t>FESUP</t>
  </si>
  <si>
    <t>Fire Extinguisher</t>
  </si>
  <si>
    <t>Portable extinguisher per NFPA 10</t>
  </si>
  <si>
    <t>KITSP</t>
  </si>
  <si>
    <t>Kitchen Suppression</t>
  </si>
  <si>
    <t>Kitchen hood suppression NFPA 17A</t>
  </si>
  <si>
    <t>AHU_CODE</t>
  </si>
  <si>
    <t>AHU_CODE_DESCRIPTION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</si>
</sst>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b/>
      <sz val="10"/>
      <color rgb="FFFFFFFF"/>
      <name val="Calibri"/>
    </font>
    <font>
      <sz val="11"/>
      <color theme="1"/>
      <name val="Calibri"/>
      <family val="2"/>
      <charset val="1"/>
    </font>
    <font>
      <b/>
      <sz val="11"/>
      <color rgb="FFFFFFFF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4"/>
      <name val="Calibri"/>
    </font>
    <font>
      <i/>
      <sz val="11"/>
      <name val="Calibri"/>
    </font>
    <font>
      <b/>
      <sz val="12"/>
      <color rgb="FF2B579A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333399"/>
      </patternFill>
    </fill>
    <fill>
      <patternFill patternType="solid">
        <fgColor rgb="FFD9D9D9"/>
        <bgColor rgb="FFD9D9D9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5" fillId="6" borderId="0" xfId="0" applyFont="1" applyFill="1"/>
    <xf numFmtId="0" fontId="0" fillId="0" borderId="2" xfId="0" applyBorder="1" applyAlignment="1">
      <alignment vertical="top" wrapText="1"/>
    </xf>
    <xf numFmtId="0" fontId="10" fillId="8" borderId="0" xfId="0" applyFont="1" applyFill="1"/>
    <xf numFmtId="0" fontId="12" fillId="0" borderId="0" xfId="0" applyFont="1"/>
    <xf numFmtId="0" fontId="1" fillId="0" borderId="3" xfId="0" applyFont="1" applyBorder="1"/>
    <xf numFmtId="0" fontId="0" fillId="0" borderId="3" xfId="0" applyBorder="1"/>
    <xf numFmtId="0" fontId="2" fillId="3" borderId="3" xfId="0" applyFont="1" applyFill="1" applyBorder="1" applyAlignment="1">
      <alignment horizontal="center" vertical="center" wrapText="1"/>
    </xf>
    <xf numFmtId="0" fontId="13" fillId="0" borderId="3" xfId="0" applyFont="1" applyBorder="1"/>
    <xf numFmtId="0" fontId="14" fillId="0" borderId="3" xfId="0" applyFont="1" applyBorder="1"/>
    <xf numFmtId="0" fontId="15" fillId="0" borderId="3" xfId="0" applyFont="1" applyBorder="1"/>
    <xf numFmtId="0" fontId="10" fillId="8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5" fillId="3" borderId="3" xfId="0" applyFont="1" applyFill="1" applyBorder="1" applyAlignment="1">
      <alignment horizontal="center" vertical="center" wrapText="1"/>
    </xf>
    <xf numFmtId="0" fontId="10" fillId="8" borderId="3" xfId="0" applyFont="1" applyFill="1" applyBorder="1"/>
    <xf numFmtId="0" fontId="10" fillId="7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3" fillId="0" borderId="6" xfId="0" applyFont="1" applyBorder="1"/>
    <xf numFmtId="0" fontId="15" fillId="0" borderId="7" xfId="0" applyFont="1" applyBorder="1"/>
    <xf numFmtId="0" fontId="0" fillId="0" borderId="8" xfId="0" applyBorder="1"/>
    <xf numFmtId="0" fontId="15" fillId="0" borderId="9" xfId="0" applyFont="1" applyBorder="1"/>
    <xf numFmtId="0" fontId="14" fillId="0" borderId="9" xfId="0" applyFont="1" applyBorder="1"/>
    <xf numFmtId="0" fontId="0" fillId="0" borderId="10" xfId="0" applyBorder="1"/>
    <xf numFmtId="0" fontId="0" fillId="0" borderId="11" xfId="0" applyBorder="1"/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7" xfId="0" applyBorder="1"/>
    <xf numFmtId="0" fontId="14" fillId="0" borderId="15" xfId="0" applyFont="1" applyBorder="1"/>
    <xf numFmtId="0" fontId="16" fillId="3" borderId="3" xfId="0" applyFont="1" applyFill="1" applyBorder="1" applyAlignment="1">
      <alignment horizontal="center" vertical="center" wrapText="1"/>
    </xf>
    <xf numFmtId="0" fontId="17" fillId="0" borderId="0" xfId="0" applyFont="1"/>
    <xf numFmtId="0" fontId="16" fillId="4" borderId="0" xfId="0" applyFont="1" applyFill="1"/>
    <xf numFmtId="0" fontId="16" fillId="0" borderId="0" xfId="0" applyFont="1"/>
    <xf numFmtId="0" fontId="1" fillId="0" borderId="0" xfId="0" applyFont="1"/>
    <xf numFmtId="0" fontId="0" fillId="0" borderId="0" xfId="0"/>
    <xf numFmtId="0" fontId="11" fillId="2" borderId="0" xfId="0" applyFont="1" applyFill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1" fillId="0" borderId="0" xfId="0" applyFont="1"/>
    <xf numFmtId="0" fontId="13" fillId="0" borderId="3" xfId="0" applyFont="1" applyBorder="1"/>
    <xf numFmtId="0" fontId="9" fillId="7" borderId="16" xfId="0" applyFont="1" applyFill="1" applyBorder="1" applyAlignment="1">
      <alignment horizontal="left" vertical="center"/>
    </xf>
    <xf numFmtId="0" fontId="9" fillId="7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57"/>
  <sheetViews>
    <sheetView tabSelected="1" topLeftCell="AG1" zoomScale="130" zoomScaleNormal="130" workbookViewId="0">
      <selection activeCell="AH21" sqref="AH21"/>
    </sheetView>
  </sheetViews>
  <sheetFormatPr defaultRowHeight="15" x14ac:dyDescent="0.25"/>
  <cols>
    <col min="1" max="1" width="20" customWidth="1"/>
    <col min="2" max="2" width="27.140625" bestFit="1" customWidth="1"/>
    <col min="3" max="3" width="63.28515625" bestFit="1" customWidth="1"/>
    <col min="4" max="4" width="30" bestFit="1" customWidth="1"/>
    <col min="5" max="5" width="13.42578125" bestFit="1" customWidth="1"/>
    <col min="6" max="6" width="28.7109375" bestFit="1" customWidth="1"/>
    <col min="7" max="7" width="54.7109375" bestFit="1" customWidth="1"/>
    <col min="8" max="8" width="13.42578125" bestFit="1" customWidth="1"/>
    <col min="9" max="9" width="51" bestFit="1" customWidth="1"/>
    <col min="10" max="10" width="26.85546875" bestFit="1" customWidth="1"/>
    <col min="11" max="11" width="43.85546875" bestFit="1" customWidth="1"/>
    <col min="12" max="12" width="20" customWidth="1"/>
    <col min="13" max="13" width="7.85546875" bestFit="1" customWidth="1"/>
    <col min="14" max="14" width="20" bestFit="1" customWidth="1"/>
    <col min="15" max="15" width="50" bestFit="1" customWidth="1"/>
    <col min="16" max="16" width="10" customWidth="1"/>
    <col min="17" max="17" width="47" bestFit="1" customWidth="1"/>
    <col min="18" max="18" width="30" bestFit="1" customWidth="1"/>
    <col min="19" max="19" width="50" bestFit="1" customWidth="1"/>
    <col min="20" max="20" width="10" customWidth="1"/>
    <col min="21" max="21" width="50" bestFit="1" customWidth="1"/>
    <col min="22" max="22" width="26" bestFit="1" customWidth="1"/>
    <col min="23" max="23" width="46" bestFit="1" customWidth="1"/>
    <col min="24" max="24" width="10" customWidth="1"/>
    <col min="25" max="25" width="50" bestFit="1" customWidth="1"/>
    <col min="26" max="26" width="27" bestFit="1" customWidth="1"/>
    <col min="27" max="27" width="47" bestFit="1" customWidth="1"/>
    <col min="28" max="28" width="10" customWidth="1"/>
    <col min="29" max="29" width="50" bestFit="1" customWidth="1"/>
    <col min="30" max="30" width="25" bestFit="1" customWidth="1"/>
    <col min="31" max="31" width="47" bestFit="1" customWidth="1"/>
    <col min="32" max="32" width="10" customWidth="1"/>
    <col min="33" max="33" width="50" bestFit="1" customWidth="1"/>
    <col min="34" max="34" width="24" bestFit="1" customWidth="1"/>
    <col min="35" max="35" width="46" bestFit="1" customWidth="1"/>
    <col min="36" max="36" width="10" customWidth="1"/>
    <col min="37" max="37" width="50" bestFit="1" customWidth="1"/>
    <col min="38" max="38" width="22" bestFit="1" customWidth="1"/>
    <col min="39" max="39" width="46" bestFit="1" customWidth="1"/>
    <col min="40" max="40" width="10" customWidth="1"/>
    <col min="41" max="41" width="36" bestFit="1" customWidth="1"/>
    <col min="42" max="42" width="17" bestFit="1" customWidth="1"/>
    <col min="43" max="43" width="50" bestFit="1" customWidth="1"/>
    <col min="44" max="44" width="10" customWidth="1"/>
    <col min="45" max="45" width="34" bestFit="1" customWidth="1"/>
    <col min="46" max="46" width="20" bestFit="1" customWidth="1"/>
    <col min="47" max="47" width="26" bestFit="1" customWidth="1"/>
    <col min="48" max="48" width="10" customWidth="1"/>
    <col min="49" max="49" width="16.7109375" customWidth="1"/>
    <col min="50" max="50" width="24" bestFit="1" customWidth="1"/>
    <col min="51" max="51" width="10" customWidth="1"/>
    <col min="52" max="52" width="16" bestFit="1" customWidth="1"/>
    <col min="53" max="53" width="28" bestFit="1" customWidth="1"/>
    <col min="54" max="54" width="10" customWidth="1"/>
    <col min="55" max="55" width="16" bestFit="1" customWidth="1"/>
    <col min="56" max="56" width="28" bestFit="1" customWidth="1"/>
    <col min="57" max="57" width="10" customWidth="1"/>
    <col min="58" max="58" width="17" bestFit="1" customWidth="1"/>
    <col min="59" max="59" width="24" bestFit="1" customWidth="1"/>
    <col min="60" max="61" width="31" customWidth="1"/>
    <col min="62" max="62" width="12" bestFit="1" customWidth="1"/>
    <col min="63" max="63" width="22" bestFit="1" customWidth="1"/>
    <col min="64" max="64" width="24" customWidth="1"/>
    <col min="65" max="65" width="11" bestFit="1" customWidth="1"/>
    <col min="66" max="66" width="22" bestFit="1" customWidth="1"/>
    <col min="67" max="67" width="31" customWidth="1"/>
    <col min="68" max="68" width="50" customWidth="1"/>
    <col min="69" max="69" width="17" customWidth="1"/>
    <col min="70" max="70" width="25" customWidth="1"/>
    <col min="71" max="71" width="15" customWidth="1"/>
    <col min="72" max="72" width="10" customWidth="1"/>
    <col min="73" max="73" width="26" customWidth="1"/>
    <col min="74" max="74" width="15" customWidth="1"/>
    <col min="75" max="75" width="11" customWidth="1"/>
    <col min="76" max="76" width="26" customWidth="1"/>
    <col min="77" max="77" width="50" bestFit="1" customWidth="1"/>
    <col min="78" max="78" width="12" bestFit="1" customWidth="1"/>
    <col min="79" max="80" width="12" customWidth="1"/>
    <col min="81" max="81" width="24" bestFit="1" customWidth="1"/>
    <col min="82" max="82" width="13" bestFit="1" customWidth="1"/>
  </cols>
  <sheetData>
    <row r="1" spans="1:73" ht="24.95" customHeight="1" thickBot="1" x14ac:dyDescent="0.35">
      <c r="A1" s="49" t="s">
        <v>0</v>
      </c>
      <c r="B1" s="48"/>
      <c r="C1" s="48"/>
      <c r="E1" s="47" t="s">
        <v>1</v>
      </c>
      <c r="F1" s="48"/>
      <c r="G1" s="48"/>
      <c r="I1" s="3" t="s">
        <v>2</v>
      </c>
      <c r="M1" s="47" t="s">
        <v>3</v>
      </c>
      <c r="N1" s="48"/>
      <c r="O1" s="48"/>
      <c r="Q1" s="47" t="s">
        <v>4</v>
      </c>
      <c r="R1" s="48"/>
      <c r="S1" s="48"/>
      <c r="U1" s="47" t="s">
        <v>5</v>
      </c>
      <c r="V1" s="48"/>
      <c r="W1" s="48"/>
      <c r="Y1" s="47" t="s">
        <v>6</v>
      </c>
      <c r="Z1" s="48"/>
      <c r="AA1" s="48"/>
      <c r="AC1" s="47" t="s">
        <v>7</v>
      </c>
      <c r="AD1" s="48"/>
      <c r="AE1" s="48"/>
      <c r="AG1" s="47" t="s">
        <v>8</v>
      </c>
      <c r="AH1" s="48"/>
      <c r="AI1" s="48"/>
      <c r="AK1" s="47" t="s">
        <v>9</v>
      </c>
      <c r="AL1" s="48"/>
      <c r="AM1" s="48"/>
      <c r="AO1" s="47" t="s">
        <v>10</v>
      </c>
      <c r="AP1" s="48"/>
      <c r="AQ1" s="48"/>
      <c r="AS1" s="47" t="s">
        <v>11</v>
      </c>
      <c r="AT1" s="48"/>
      <c r="AU1" s="48"/>
      <c r="AW1" s="44" t="s">
        <v>12</v>
      </c>
      <c r="AZ1" s="44" t="s">
        <v>13</v>
      </c>
      <c r="BC1" s="44" t="s">
        <v>14</v>
      </c>
      <c r="BF1" s="44" t="s">
        <v>15</v>
      </c>
      <c r="BJ1" s="44" t="s">
        <v>16</v>
      </c>
      <c r="BM1" s="44" t="s">
        <v>17</v>
      </c>
      <c r="BQ1" s="44" t="s">
        <v>18</v>
      </c>
      <c r="BT1" s="44" t="s">
        <v>19</v>
      </c>
    </row>
    <row r="2" spans="1:73" ht="31.5" customHeight="1" x14ac:dyDescent="0.25">
      <c r="A2" s="12" t="s">
        <v>20</v>
      </c>
      <c r="E2" s="34" t="s">
        <v>21</v>
      </c>
      <c r="F2" s="35" t="s">
        <v>22</v>
      </c>
      <c r="G2" s="36" t="s">
        <v>23</v>
      </c>
      <c r="I2" s="1" t="s">
        <v>21</v>
      </c>
      <c r="J2" s="1" t="s">
        <v>22</v>
      </c>
      <c r="K2" s="1" t="s">
        <v>23</v>
      </c>
      <c r="M2" s="1" t="s">
        <v>21</v>
      </c>
      <c r="N2" s="1" t="s">
        <v>22</v>
      </c>
      <c r="O2" s="1" t="s">
        <v>23</v>
      </c>
      <c r="Q2" s="1" t="s">
        <v>21</v>
      </c>
      <c r="R2" s="1" t="s">
        <v>22</v>
      </c>
      <c r="S2" s="1" t="s">
        <v>23</v>
      </c>
      <c r="U2" s="1" t="s">
        <v>21</v>
      </c>
      <c r="V2" s="1" t="s">
        <v>22</v>
      </c>
      <c r="W2" s="1" t="s">
        <v>23</v>
      </c>
      <c r="Y2" s="1" t="s">
        <v>21</v>
      </c>
      <c r="Z2" s="1" t="s">
        <v>22</v>
      </c>
      <c r="AA2" s="1" t="s">
        <v>23</v>
      </c>
      <c r="AC2" s="1" t="s">
        <v>21</v>
      </c>
      <c r="AD2" s="1" t="s">
        <v>22</v>
      </c>
      <c r="AE2" s="1" t="s">
        <v>23</v>
      </c>
      <c r="AG2" s="1" t="s">
        <v>21</v>
      </c>
      <c r="AH2" s="1" t="s">
        <v>22</v>
      </c>
      <c r="AI2" s="1" t="s">
        <v>23</v>
      </c>
      <c r="AK2" s="1" t="s">
        <v>21</v>
      </c>
      <c r="AL2" s="1" t="s">
        <v>22</v>
      </c>
      <c r="AM2" s="1" t="s">
        <v>23</v>
      </c>
      <c r="AO2" s="1" t="s">
        <v>21</v>
      </c>
      <c r="AP2" s="1" t="s">
        <v>24</v>
      </c>
      <c r="AQ2" s="1" t="s">
        <v>25</v>
      </c>
      <c r="AS2" s="1" t="s">
        <v>21</v>
      </c>
      <c r="AT2" s="1" t="s">
        <v>22</v>
      </c>
      <c r="AU2" s="1" t="s">
        <v>26</v>
      </c>
      <c r="AW2" s="45" t="s">
        <v>21</v>
      </c>
      <c r="AX2" s="45" t="s">
        <v>22</v>
      </c>
      <c r="AY2" s="46" t="s">
        <v>26</v>
      </c>
      <c r="AZ2" s="45" t="s">
        <v>21</v>
      </c>
      <c r="BA2" s="45" t="s">
        <v>22</v>
      </c>
      <c r="BB2" s="46" t="s">
        <v>26</v>
      </c>
      <c r="BC2" s="45" t="s">
        <v>21</v>
      </c>
      <c r="BD2" s="45" t="s">
        <v>22</v>
      </c>
      <c r="BE2" s="46" t="s">
        <v>26</v>
      </c>
      <c r="BF2" s="45" t="s">
        <v>21</v>
      </c>
      <c r="BG2" s="45" t="s">
        <v>27</v>
      </c>
      <c r="BH2" s="46" t="s">
        <v>28</v>
      </c>
      <c r="BI2" s="4"/>
      <c r="BJ2" s="45" t="s">
        <v>21</v>
      </c>
      <c r="BK2" s="45" t="s">
        <v>22</v>
      </c>
      <c r="BL2" s="45" t="s">
        <v>26</v>
      </c>
      <c r="BM2" s="45" t="s">
        <v>21</v>
      </c>
      <c r="BN2" s="45" t="s">
        <v>22</v>
      </c>
      <c r="BO2" s="46" t="s">
        <v>26</v>
      </c>
      <c r="BQ2" s="46" t="s">
        <v>21</v>
      </c>
      <c r="BR2" s="46" t="s">
        <v>22</v>
      </c>
      <c r="BT2" s="46" t="s">
        <v>21</v>
      </c>
      <c r="BU2" t="s">
        <v>22</v>
      </c>
    </row>
    <row r="3" spans="1:73" x14ac:dyDescent="0.25">
      <c r="A3" s="50" t="s">
        <v>29</v>
      </c>
      <c r="B3" s="51"/>
      <c r="C3" s="52"/>
      <c r="E3" s="29" t="s">
        <v>30</v>
      </c>
      <c r="F3" s="14" t="s">
        <v>31</v>
      </c>
      <c r="G3" s="37" t="s">
        <v>32</v>
      </c>
      <c r="I3" s="14" t="s">
        <v>33</v>
      </c>
      <c r="J3" s="14" t="s">
        <v>34</v>
      </c>
      <c r="K3" s="2" t="s">
        <v>35</v>
      </c>
      <c r="M3" s="2" t="s">
        <v>36</v>
      </c>
      <c r="N3" s="2" t="s">
        <v>37</v>
      </c>
      <c r="O3" s="2" t="s">
        <v>38</v>
      </c>
      <c r="Q3" s="2" t="s">
        <v>39</v>
      </c>
      <c r="R3" s="2" t="s">
        <v>40</v>
      </c>
      <c r="S3" s="2" t="s">
        <v>41</v>
      </c>
      <c r="U3" s="2" t="s">
        <v>42</v>
      </c>
      <c r="V3" s="2" t="s">
        <v>43</v>
      </c>
      <c r="W3" s="2" t="s">
        <v>44</v>
      </c>
      <c r="Y3" s="2" t="s">
        <v>45</v>
      </c>
      <c r="Z3" s="2" t="s">
        <v>46</v>
      </c>
      <c r="AA3" s="2" t="s">
        <v>47</v>
      </c>
      <c r="AC3" s="2" t="s">
        <v>48</v>
      </c>
      <c r="AD3" s="2" t="s">
        <v>49</v>
      </c>
      <c r="AE3" s="2" t="s">
        <v>50</v>
      </c>
      <c r="AG3" s="2" t="s">
        <v>51</v>
      </c>
      <c r="AH3" s="2" t="s">
        <v>52</v>
      </c>
      <c r="AI3" s="2" t="s">
        <v>53</v>
      </c>
      <c r="AK3" s="2" t="s">
        <v>54</v>
      </c>
      <c r="AL3" s="2" t="s">
        <v>55</v>
      </c>
      <c r="AM3" s="2" t="s">
        <v>56</v>
      </c>
      <c r="AO3" s="2" t="s">
        <v>57</v>
      </c>
      <c r="AP3" s="2" t="s">
        <v>58</v>
      </c>
      <c r="AQ3" s="2" t="s">
        <v>59</v>
      </c>
      <c r="AS3" s="2" t="s">
        <v>60</v>
      </c>
      <c r="AT3" s="2" t="s">
        <v>61</v>
      </c>
      <c r="AU3" s="2" t="s">
        <v>62</v>
      </c>
      <c r="AW3" t="s">
        <v>63</v>
      </c>
      <c r="AX3" t="s">
        <v>64</v>
      </c>
      <c r="AY3" t="s">
        <v>65</v>
      </c>
      <c r="AZ3" t="s">
        <v>66</v>
      </c>
      <c r="BA3" t="s">
        <v>67</v>
      </c>
      <c r="BB3" t="s">
        <v>68</v>
      </c>
      <c r="BC3" t="s">
        <v>69</v>
      </c>
      <c r="BD3" t="s">
        <v>70</v>
      </c>
      <c r="BE3" t="s">
        <v>71</v>
      </c>
      <c r="BF3" t="s">
        <v>63</v>
      </c>
      <c r="BG3" t="s">
        <v>72</v>
      </c>
      <c r="BH3" t="s">
        <v>64</v>
      </c>
      <c r="BJ3" t="s">
        <v>66</v>
      </c>
      <c r="BK3" t="s">
        <v>67</v>
      </c>
      <c r="BM3" t="s">
        <v>69</v>
      </c>
      <c r="BN3" t="s">
        <v>73</v>
      </c>
      <c r="BO3" t="s">
        <v>74</v>
      </c>
      <c r="BQ3" t="s">
        <v>75</v>
      </c>
      <c r="BR3" t="s">
        <v>76</v>
      </c>
      <c r="BT3" t="s">
        <v>77</v>
      </c>
      <c r="BU3" t="s">
        <v>78</v>
      </c>
    </row>
    <row r="4" spans="1:73" ht="31.5" customHeight="1" x14ac:dyDescent="0.25">
      <c r="A4" s="43" t="s">
        <v>1484</v>
      </c>
      <c r="B4" s="43" t="s">
        <v>1485</v>
      </c>
      <c r="C4" s="43" t="s">
        <v>23</v>
      </c>
      <c r="E4" s="29" t="s">
        <v>79</v>
      </c>
      <c r="F4" s="14" t="s">
        <v>80</v>
      </c>
      <c r="G4" t="s">
        <v>81</v>
      </c>
      <c r="I4" s="14" t="s">
        <v>82</v>
      </c>
      <c r="J4" s="14" t="s">
        <v>83</v>
      </c>
      <c r="K4" s="2" t="s">
        <v>84</v>
      </c>
      <c r="M4" s="2" t="s">
        <v>85</v>
      </c>
      <c r="N4" s="2" t="s">
        <v>86</v>
      </c>
      <c r="O4" s="2" t="s">
        <v>87</v>
      </c>
      <c r="Q4" s="2" t="s">
        <v>88</v>
      </c>
      <c r="R4" s="2" t="s">
        <v>89</v>
      </c>
      <c r="S4" s="2" t="s">
        <v>90</v>
      </c>
      <c r="U4" s="2" t="s">
        <v>91</v>
      </c>
      <c r="V4" s="2" t="s">
        <v>92</v>
      </c>
      <c r="W4" s="2" t="s">
        <v>93</v>
      </c>
      <c r="Y4" s="2" t="s">
        <v>94</v>
      </c>
      <c r="Z4" s="2" t="s">
        <v>95</v>
      </c>
      <c r="AA4" s="2" t="s">
        <v>96</v>
      </c>
      <c r="AC4" s="2" t="s">
        <v>97</v>
      </c>
      <c r="AD4" s="2" t="s">
        <v>98</v>
      </c>
      <c r="AE4" s="2" t="s">
        <v>99</v>
      </c>
      <c r="AG4" s="2" t="s">
        <v>100</v>
      </c>
      <c r="AH4" s="2" t="s">
        <v>101</v>
      </c>
      <c r="AI4" s="2" t="s">
        <v>102</v>
      </c>
      <c r="AK4" s="2" t="s">
        <v>103</v>
      </c>
      <c r="AL4" s="2" t="s">
        <v>104</v>
      </c>
      <c r="AM4" s="2" t="s">
        <v>105</v>
      </c>
      <c r="AO4" s="2" t="s">
        <v>106</v>
      </c>
      <c r="AP4" s="2" t="s">
        <v>107</v>
      </c>
      <c r="AQ4" s="2" t="s">
        <v>108</v>
      </c>
      <c r="AS4" s="2" t="s">
        <v>109</v>
      </c>
      <c r="AT4" s="2" t="s">
        <v>110</v>
      </c>
      <c r="AU4" s="2" t="s">
        <v>111</v>
      </c>
      <c r="AW4" t="s">
        <v>112</v>
      </c>
      <c r="AX4" t="s">
        <v>113</v>
      </c>
      <c r="AY4" t="s">
        <v>114</v>
      </c>
      <c r="AZ4" t="s">
        <v>115</v>
      </c>
      <c r="BA4" t="s">
        <v>116</v>
      </c>
      <c r="BB4" t="s">
        <v>68</v>
      </c>
      <c r="BC4" t="s">
        <v>117</v>
      </c>
      <c r="BD4" t="s">
        <v>118</v>
      </c>
      <c r="BE4" t="s">
        <v>119</v>
      </c>
      <c r="BF4" t="s">
        <v>112</v>
      </c>
      <c r="BG4" t="s">
        <v>120</v>
      </c>
      <c r="BH4" t="s">
        <v>121</v>
      </c>
      <c r="BJ4" t="s">
        <v>115</v>
      </c>
      <c r="BK4" t="s">
        <v>116</v>
      </c>
      <c r="BM4" t="s">
        <v>117</v>
      </c>
      <c r="BN4" t="s">
        <v>122</v>
      </c>
      <c r="BO4" t="s">
        <v>123</v>
      </c>
      <c r="BQ4" t="s">
        <v>124</v>
      </c>
      <c r="BR4" t="s">
        <v>125</v>
      </c>
      <c r="BT4" t="s">
        <v>126</v>
      </c>
      <c r="BU4" t="s">
        <v>127</v>
      </c>
    </row>
    <row r="5" spans="1:73" x14ac:dyDescent="0.25">
      <c r="A5" s="14" t="s">
        <v>319</v>
      </c>
      <c r="B5" s="14" t="s">
        <v>320</v>
      </c>
      <c r="C5" s="14" t="s">
        <v>321</v>
      </c>
      <c r="E5" s="38" t="s">
        <v>128</v>
      </c>
      <c r="F5" s="14" t="s">
        <v>129</v>
      </c>
      <c r="G5" t="s">
        <v>130</v>
      </c>
      <c r="I5" s="14" t="s">
        <v>131</v>
      </c>
      <c r="J5" s="14" t="s">
        <v>132</v>
      </c>
      <c r="K5" s="2" t="s">
        <v>133</v>
      </c>
      <c r="M5" s="2" t="s">
        <v>134</v>
      </c>
      <c r="N5" s="2" t="s">
        <v>135</v>
      </c>
      <c r="O5" s="2" t="s">
        <v>136</v>
      </c>
      <c r="Q5" s="2" t="s">
        <v>137</v>
      </c>
      <c r="R5" s="2" t="s">
        <v>138</v>
      </c>
      <c r="S5" s="2" t="s">
        <v>139</v>
      </c>
      <c r="U5" s="2" t="s">
        <v>140</v>
      </c>
      <c r="V5" s="2" t="s">
        <v>141</v>
      </c>
      <c r="W5" s="2" t="s">
        <v>142</v>
      </c>
      <c r="Y5" s="2" t="s">
        <v>143</v>
      </c>
      <c r="Z5" s="2" t="s">
        <v>144</v>
      </c>
      <c r="AA5" s="2" t="s">
        <v>145</v>
      </c>
      <c r="AC5" s="2" t="s">
        <v>146</v>
      </c>
      <c r="AD5" s="2" t="s">
        <v>147</v>
      </c>
      <c r="AE5" s="2" t="s">
        <v>148</v>
      </c>
      <c r="AG5" s="2" t="s">
        <v>149</v>
      </c>
      <c r="AH5" s="2" t="s">
        <v>150</v>
      </c>
      <c r="AI5" s="2" t="s">
        <v>151</v>
      </c>
      <c r="AK5" s="2" t="s">
        <v>152</v>
      </c>
      <c r="AL5" s="2" t="s">
        <v>153</v>
      </c>
      <c r="AM5" s="2" t="s">
        <v>154</v>
      </c>
      <c r="AO5" s="2" t="s">
        <v>155</v>
      </c>
      <c r="AP5" s="2" t="s">
        <v>156</v>
      </c>
      <c r="AQ5" s="2" t="s">
        <v>157</v>
      </c>
      <c r="AS5" s="2" t="s">
        <v>158</v>
      </c>
      <c r="AT5" s="2" t="s">
        <v>159</v>
      </c>
      <c r="AU5" s="2" t="s">
        <v>160</v>
      </c>
      <c r="AW5" t="s">
        <v>161</v>
      </c>
      <c r="AX5" t="s">
        <v>162</v>
      </c>
      <c r="AY5" t="s">
        <v>114</v>
      </c>
      <c r="AZ5" t="s">
        <v>163</v>
      </c>
      <c r="BA5" t="s">
        <v>164</v>
      </c>
      <c r="BB5" t="s">
        <v>68</v>
      </c>
      <c r="BC5" t="s">
        <v>165</v>
      </c>
      <c r="BD5" t="s">
        <v>166</v>
      </c>
      <c r="BE5" t="s">
        <v>167</v>
      </c>
      <c r="BF5" t="s">
        <v>161</v>
      </c>
      <c r="BG5" t="s">
        <v>168</v>
      </c>
      <c r="BH5" t="s">
        <v>169</v>
      </c>
      <c r="BJ5" t="s">
        <v>163</v>
      </c>
      <c r="BK5" t="s">
        <v>170</v>
      </c>
      <c r="BM5" t="s">
        <v>165</v>
      </c>
      <c r="BN5" t="s">
        <v>171</v>
      </c>
      <c r="BO5" t="s">
        <v>172</v>
      </c>
      <c r="BQ5" t="s">
        <v>173</v>
      </c>
      <c r="BR5" t="s">
        <v>174</v>
      </c>
      <c r="BT5" t="s">
        <v>175</v>
      </c>
      <c r="BU5" t="s">
        <v>176</v>
      </c>
    </row>
    <row r="6" spans="1:73" x14ac:dyDescent="0.25">
      <c r="A6" s="14" t="s">
        <v>366</v>
      </c>
      <c r="B6" s="14" t="s">
        <v>367</v>
      </c>
      <c r="C6" s="14" t="s">
        <v>368</v>
      </c>
      <c r="E6" s="38" t="s">
        <v>177</v>
      </c>
      <c r="F6" s="14" t="s">
        <v>178</v>
      </c>
      <c r="G6" t="s">
        <v>179</v>
      </c>
      <c r="I6" s="14" t="s">
        <v>180</v>
      </c>
      <c r="J6" s="14" t="s">
        <v>181</v>
      </c>
      <c r="K6" s="2" t="s">
        <v>182</v>
      </c>
      <c r="M6" s="2" t="s">
        <v>183</v>
      </c>
      <c r="N6" s="2" t="s">
        <v>184</v>
      </c>
      <c r="O6" s="2" t="s">
        <v>185</v>
      </c>
      <c r="Q6" s="2" t="s">
        <v>186</v>
      </c>
      <c r="R6" s="2" t="s">
        <v>187</v>
      </c>
      <c r="S6" s="2" t="s">
        <v>188</v>
      </c>
      <c r="U6" s="2" t="s">
        <v>189</v>
      </c>
      <c r="V6" s="2" t="s">
        <v>190</v>
      </c>
      <c r="W6" s="2" t="s">
        <v>191</v>
      </c>
      <c r="Y6" s="2" t="s">
        <v>192</v>
      </c>
      <c r="Z6" s="2" t="s">
        <v>193</v>
      </c>
      <c r="AA6" s="2" t="s">
        <v>194</v>
      </c>
      <c r="AC6" s="2" t="s">
        <v>195</v>
      </c>
      <c r="AD6" s="2" t="s">
        <v>196</v>
      </c>
      <c r="AE6" s="2" t="s">
        <v>197</v>
      </c>
      <c r="AG6" s="2" t="s">
        <v>198</v>
      </c>
      <c r="AH6" s="2" t="s">
        <v>199</v>
      </c>
      <c r="AI6" s="2" t="s">
        <v>200</v>
      </c>
      <c r="AO6" s="2" t="s">
        <v>201</v>
      </c>
      <c r="AP6" s="2" t="s">
        <v>202</v>
      </c>
      <c r="AQ6" s="2" t="s">
        <v>203</v>
      </c>
      <c r="AS6" s="2" t="s">
        <v>204</v>
      </c>
      <c r="AT6" s="2" t="s">
        <v>205</v>
      </c>
      <c r="AU6" s="2" t="s">
        <v>206</v>
      </c>
      <c r="AW6" t="s">
        <v>207</v>
      </c>
      <c r="AX6" t="s">
        <v>208</v>
      </c>
      <c r="AY6" t="s">
        <v>209</v>
      </c>
      <c r="AZ6" t="s">
        <v>210</v>
      </c>
      <c r="BA6" t="s">
        <v>211</v>
      </c>
      <c r="BB6" t="s">
        <v>68</v>
      </c>
      <c r="BC6" t="s">
        <v>212</v>
      </c>
      <c r="BD6" t="s">
        <v>213</v>
      </c>
      <c r="BE6" t="s">
        <v>214</v>
      </c>
      <c r="BF6" t="s">
        <v>215</v>
      </c>
      <c r="BG6" t="s">
        <v>216</v>
      </c>
      <c r="BH6" t="s">
        <v>217</v>
      </c>
      <c r="BJ6" t="s">
        <v>218</v>
      </c>
      <c r="BK6" t="s">
        <v>219</v>
      </c>
      <c r="BM6" t="s">
        <v>220</v>
      </c>
      <c r="BN6" t="s">
        <v>221</v>
      </c>
      <c r="BO6" t="s">
        <v>222</v>
      </c>
      <c r="BQ6" t="s">
        <v>223</v>
      </c>
      <c r="BR6" t="s">
        <v>224</v>
      </c>
      <c r="BT6" t="s">
        <v>225</v>
      </c>
      <c r="BU6" t="s">
        <v>226</v>
      </c>
    </row>
    <row r="7" spans="1:73" x14ac:dyDescent="0.25">
      <c r="A7" s="14" t="s">
        <v>409</v>
      </c>
      <c r="B7" s="14" t="s">
        <v>410</v>
      </c>
      <c r="C7" s="14" t="s">
        <v>411</v>
      </c>
      <c r="E7" s="38" t="s">
        <v>227</v>
      </c>
      <c r="F7" s="14" t="s">
        <v>228</v>
      </c>
      <c r="G7" t="s">
        <v>229</v>
      </c>
      <c r="I7" s="14" t="s">
        <v>230</v>
      </c>
      <c r="J7" s="14" t="s">
        <v>231</v>
      </c>
      <c r="K7" s="2" t="s">
        <v>232</v>
      </c>
      <c r="M7" s="2" t="s">
        <v>233</v>
      </c>
      <c r="N7" s="2" t="s">
        <v>234</v>
      </c>
      <c r="O7" s="2" t="s">
        <v>235</v>
      </c>
      <c r="Q7" s="2" t="s">
        <v>236</v>
      </c>
      <c r="R7" s="2" t="s">
        <v>237</v>
      </c>
      <c r="S7" s="2" t="s">
        <v>238</v>
      </c>
      <c r="U7" s="2" t="s">
        <v>239</v>
      </c>
      <c r="V7" s="2" t="s">
        <v>240</v>
      </c>
      <c r="W7" s="2" t="s">
        <v>241</v>
      </c>
      <c r="Y7" s="2" t="s">
        <v>242</v>
      </c>
      <c r="Z7" s="2" t="s">
        <v>243</v>
      </c>
      <c r="AA7" s="2" t="s">
        <v>244</v>
      </c>
      <c r="AC7" s="2" t="s">
        <v>245</v>
      </c>
      <c r="AD7" s="2" t="s">
        <v>246</v>
      </c>
      <c r="AE7" s="2" t="s">
        <v>247</v>
      </c>
      <c r="AG7" s="2" t="s">
        <v>248</v>
      </c>
      <c r="AH7" s="2" t="s">
        <v>249</v>
      </c>
      <c r="AI7" s="2" t="s">
        <v>250</v>
      </c>
      <c r="AO7" s="2" t="s">
        <v>251</v>
      </c>
      <c r="AP7" s="2" t="s">
        <v>252</v>
      </c>
      <c r="AQ7" s="2" t="s">
        <v>253</v>
      </c>
      <c r="AS7" s="2" t="s">
        <v>254</v>
      </c>
      <c r="AT7" s="2" t="s">
        <v>255</v>
      </c>
      <c r="AU7" s="2" t="s">
        <v>256</v>
      </c>
      <c r="AW7" t="s">
        <v>48</v>
      </c>
      <c r="AX7" t="s">
        <v>257</v>
      </c>
      <c r="AY7" t="s">
        <v>209</v>
      </c>
      <c r="AZ7" t="s">
        <v>258</v>
      </c>
      <c r="BA7" t="s">
        <v>259</v>
      </c>
      <c r="BB7" t="s">
        <v>68</v>
      </c>
      <c r="BC7" t="s">
        <v>260</v>
      </c>
      <c r="BD7" t="s">
        <v>261</v>
      </c>
      <c r="BE7" t="s">
        <v>262</v>
      </c>
      <c r="BF7" t="s">
        <v>263</v>
      </c>
      <c r="BG7" t="s">
        <v>264</v>
      </c>
      <c r="BH7" t="s">
        <v>265</v>
      </c>
      <c r="BJ7" t="s">
        <v>266</v>
      </c>
      <c r="BK7" t="s">
        <v>267</v>
      </c>
      <c r="BM7" t="s">
        <v>268</v>
      </c>
      <c r="BN7" t="s">
        <v>269</v>
      </c>
      <c r="BO7" t="s">
        <v>270</v>
      </c>
      <c r="BQ7" t="s">
        <v>271</v>
      </c>
      <c r="BR7" t="s">
        <v>272</v>
      </c>
      <c r="BT7" t="s">
        <v>269</v>
      </c>
      <c r="BU7" t="s">
        <v>273</v>
      </c>
    </row>
    <row r="8" spans="1:73" x14ac:dyDescent="0.25">
      <c r="A8" s="14" t="s">
        <v>443</v>
      </c>
      <c r="B8" s="14" t="s">
        <v>444</v>
      </c>
      <c r="C8" s="14" t="s">
        <v>445</v>
      </c>
      <c r="E8" s="38" t="s">
        <v>274</v>
      </c>
      <c r="F8" s="14" t="s">
        <v>275</v>
      </c>
      <c r="G8" t="s">
        <v>276</v>
      </c>
      <c r="I8" s="14" t="s">
        <v>277</v>
      </c>
      <c r="J8" s="14" t="s">
        <v>278</v>
      </c>
      <c r="K8" s="2" t="s">
        <v>279</v>
      </c>
      <c r="M8" s="2" t="s">
        <v>280</v>
      </c>
      <c r="N8" s="2" t="s">
        <v>281</v>
      </c>
      <c r="O8" s="2" t="s">
        <v>282</v>
      </c>
      <c r="Q8" s="2" t="s">
        <v>283</v>
      </c>
      <c r="R8" s="2" t="s">
        <v>284</v>
      </c>
      <c r="S8" s="2" t="s">
        <v>285</v>
      </c>
      <c r="U8" s="2" t="s">
        <v>286</v>
      </c>
      <c r="V8" s="2" t="s">
        <v>287</v>
      </c>
      <c r="W8" s="2" t="s">
        <v>288</v>
      </c>
      <c r="Y8" s="2" t="s">
        <v>289</v>
      </c>
      <c r="Z8" s="2" t="s">
        <v>290</v>
      </c>
      <c r="AA8" s="2" t="s">
        <v>291</v>
      </c>
      <c r="AC8" s="2" t="s">
        <v>292</v>
      </c>
      <c r="AD8" s="2" t="s">
        <v>246</v>
      </c>
      <c r="AE8" s="2" t="s">
        <v>293</v>
      </c>
      <c r="AG8" s="2" t="s">
        <v>294</v>
      </c>
      <c r="AH8" s="2" t="s">
        <v>295</v>
      </c>
      <c r="AI8" s="2" t="s">
        <v>296</v>
      </c>
      <c r="AO8" s="2" t="s">
        <v>297</v>
      </c>
      <c r="AP8" s="2" t="s">
        <v>298</v>
      </c>
      <c r="AQ8" s="2" t="s">
        <v>299</v>
      </c>
      <c r="AS8" s="2" t="s">
        <v>300</v>
      </c>
      <c r="AT8" s="2" t="s">
        <v>301</v>
      </c>
      <c r="AU8" s="2" t="s">
        <v>302</v>
      </c>
      <c r="AW8" t="s">
        <v>303</v>
      </c>
      <c r="AX8" t="s">
        <v>304</v>
      </c>
      <c r="AY8" t="s">
        <v>68</v>
      </c>
      <c r="AZ8" t="s">
        <v>305</v>
      </c>
      <c r="BA8" t="s">
        <v>306</v>
      </c>
      <c r="BB8" t="s">
        <v>68</v>
      </c>
      <c r="BC8" t="s">
        <v>268</v>
      </c>
      <c r="BD8" t="s">
        <v>268</v>
      </c>
      <c r="BE8" t="s">
        <v>307</v>
      </c>
      <c r="BF8" t="s">
        <v>308</v>
      </c>
      <c r="BG8" t="s">
        <v>309</v>
      </c>
      <c r="BH8" t="s">
        <v>310</v>
      </c>
      <c r="BJ8" t="s">
        <v>311</v>
      </c>
      <c r="BK8" t="s">
        <v>312</v>
      </c>
      <c r="BM8" t="s">
        <v>313</v>
      </c>
      <c r="BN8" t="s">
        <v>314</v>
      </c>
      <c r="BO8" t="s">
        <v>315</v>
      </c>
      <c r="BQ8" t="s">
        <v>316</v>
      </c>
      <c r="BR8" t="s">
        <v>317</v>
      </c>
      <c r="BT8" t="s">
        <v>314</v>
      </c>
      <c r="BU8" t="s">
        <v>318</v>
      </c>
    </row>
    <row r="9" spans="1:73" x14ac:dyDescent="0.25">
      <c r="A9" s="14" t="s">
        <v>465</v>
      </c>
      <c r="B9" s="14" t="s">
        <v>466</v>
      </c>
      <c r="C9" s="14" t="s">
        <v>467</v>
      </c>
      <c r="E9" s="38" t="s">
        <v>322</v>
      </c>
      <c r="F9" s="14" t="s">
        <v>323</v>
      </c>
      <c r="G9" t="s">
        <v>324</v>
      </c>
      <c r="I9" s="14" t="s">
        <v>325</v>
      </c>
      <c r="J9" s="14" t="s">
        <v>326</v>
      </c>
      <c r="K9" s="2" t="s">
        <v>327</v>
      </c>
      <c r="M9" s="2" t="s">
        <v>328</v>
      </c>
      <c r="N9" s="2" t="s">
        <v>329</v>
      </c>
      <c r="O9" s="2" t="s">
        <v>330</v>
      </c>
      <c r="Q9" s="2" t="s">
        <v>331</v>
      </c>
      <c r="R9" s="2" t="s">
        <v>332</v>
      </c>
      <c r="S9" s="2" t="s">
        <v>333</v>
      </c>
      <c r="U9" s="2" t="s">
        <v>334</v>
      </c>
      <c r="V9" s="2" t="s">
        <v>335</v>
      </c>
      <c r="W9" s="2" t="s">
        <v>336</v>
      </c>
      <c r="Y9" s="2" t="s">
        <v>337</v>
      </c>
      <c r="Z9" s="2" t="s">
        <v>338</v>
      </c>
      <c r="AA9" s="2" t="s">
        <v>339</v>
      </c>
      <c r="AC9" s="2" t="s">
        <v>340</v>
      </c>
      <c r="AD9" s="2" t="s">
        <v>341</v>
      </c>
      <c r="AE9" s="2" t="s">
        <v>342</v>
      </c>
      <c r="AG9" s="2" t="s">
        <v>343</v>
      </c>
      <c r="AH9" s="2" t="s">
        <v>344</v>
      </c>
      <c r="AI9" s="2" t="s">
        <v>345</v>
      </c>
      <c r="AO9" s="2" t="s">
        <v>346</v>
      </c>
      <c r="AP9" s="2" t="s">
        <v>347</v>
      </c>
      <c r="AQ9" s="2" t="s">
        <v>348</v>
      </c>
      <c r="AS9" s="2" t="s">
        <v>349</v>
      </c>
      <c r="AT9" s="2" t="s">
        <v>350</v>
      </c>
      <c r="AU9" s="2" t="s">
        <v>351</v>
      </c>
      <c r="AW9" t="s">
        <v>352</v>
      </c>
      <c r="AX9" t="s">
        <v>113</v>
      </c>
      <c r="AY9" t="s">
        <v>68</v>
      </c>
      <c r="AZ9" t="s">
        <v>353</v>
      </c>
      <c r="BA9" t="s">
        <v>354</v>
      </c>
      <c r="BB9" t="s">
        <v>68</v>
      </c>
      <c r="BD9" t="s">
        <v>268</v>
      </c>
      <c r="BE9" t="s">
        <v>307</v>
      </c>
      <c r="BF9" t="s">
        <v>355</v>
      </c>
      <c r="BG9" t="s">
        <v>356</v>
      </c>
      <c r="BH9" t="s">
        <v>357</v>
      </c>
      <c r="BJ9" t="s">
        <v>358</v>
      </c>
      <c r="BK9" t="s">
        <v>359</v>
      </c>
      <c r="BM9" t="s">
        <v>360</v>
      </c>
      <c r="BN9" t="s">
        <v>361</v>
      </c>
      <c r="BO9" t="s">
        <v>362</v>
      </c>
      <c r="BQ9" t="s">
        <v>363</v>
      </c>
      <c r="BR9" t="s">
        <v>364</v>
      </c>
      <c r="BT9" t="s">
        <v>361</v>
      </c>
      <c r="BU9" t="s">
        <v>365</v>
      </c>
    </row>
    <row r="10" spans="1:73" x14ac:dyDescent="0.25">
      <c r="A10" s="14" t="s">
        <v>487</v>
      </c>
      <c r="B10" s="14" t="s">
        <v>488</v>
      </c>
      <c r="C10" s="14" t="s">
        <v>489</v>
      </c>
      <c r="E10" s="38" t="s">
        <v>369</v>
      </c>
      <c r="F10" s="14" t="s">
        <v>370</v>
      </c>
      <c r="G10" t="s">
        <v>371</v>
      </c>
      <c r="I10" s="14" t="s">
        <v>372</v>
      </c>
      <c r="J10" s="14" t="s">
        <v>373</v>
      </c>
      <c r="K10" s="2" t="s">
        <v>374</v>
      </c>
      <c r="M10" s="2" t="s">
        <v>375</v>
      </c>
      <c r="N10" s="2" t="s">
        <v>376</v>
      </c>
      <c r="O10" s="2" t="s">
        <v>377</v>
      </c>
      <c r="Q10" s="2" t="s">
        <v>378</v>
      </c>
      <c r="R10" s="2" t="s">
        <v>379</v>
      </c>
      <c r="S10" s="2" t="s">
        <v>380</v>
      </c>
      <c r="U10" s="2" t="s">
        <v>381</v>
      </c>
      <c r="V10" s="2" t="s">
        <v>382</v>
      </c>
      <c r="W10" s="2" t="s">
        <v>383</v>
      </c>
      <c r="Y10" s="2" t="s">
        <v>384</v>
      </c>
      <c r="Z10" s="2" t="s">
        <v>385</v>
      </c>
      <c r="AA10" s="2" t="s">
        <v>386</v>
      </c>
      <c r="AC10" s="2" t="s">
        <v>387</v>
      </c>
      <c r="AD10" s="2" t="s">
        <v>388</v>
      </c>
      <c r="AE10" s="2" t="s">
        <v>389</v>
      </c>
      <c r="AG10" s="2" t="s">
        <v>390</v>
      </c>
      <c r="AH10" s="2" t="s">
        <v>391</v>
      </c>
      <c r="AI10" s="2" t="s">
        <v>392</v>
      </c>
      <c r="AO10" s="2" t="s">
        <v>393</v>
      </c>
      <c r="AP10" s="2" t="s">
        <v>394</v>
      </c>
      <c r="AQ10" s="2" t="s">
        <v>395</v>
      </c>
      <c r="AS10" s="2" t="s">
        <v>396</v>
      </c>
      <c r="AT10" s="2" t="s">
        <v>397</v>
      </c>
      <c r="AU10" s="2" t="s">
        <v>398</v>
      </c>
      <c r="AW10" t="s">
        <v>399</v>
      </c>
      <c r="AX10" t="s">
        <v>400</v>
      </c>
      <c r="AY10" t="s">
        <v>401</v>
      </c>
      <c r="BF10" t="s">
        <v>402</v>
      </c>
      <c r="BG10" t="s">
        <v>403</v>
      </c>
      <c r="BH10" t="s">
        <v>404</v>
      </c>
      <c r="BJ10" t="s">
        <v>405</v>
      </c>
      <c r="BK10" t="s">
        <v>406</v>
      </c>
      <c r="BN10" t="s">
        <v>77</v>
      </c>
      <c r="BQ10" t="s">
        <v>407</v>
      </c>
      <c r="BR10" t="s">
        <v>408</v>
      </c>
    </row>
    <row r="11" spans="1:73" x14ac:dyDescent="0.25">
      <c r="A11" s="14" t="s">
        <v>506</v>
      </c>
      <c r="B11" s="14" t="s">
        <v>507</v>
      </c>
      <c r="C11" s="14" t="s">
        <v>508</v>
      </c>
      <c r="E11" s="38" t="s">
        <v>412</v>
      </c>
      <c r="F11" s="14" t="s">
        <v>413</v>
      </c>
      <c r="G11" s="37" t="s">
        <v>414</v>
      </c>
      <c r="I11" s="14" t="s">
        <v>415</v>
      </c>
      <c r="J11" s="14" t="s">
        <v>416</v>
      </c>
      <c r="K11" s="2" t="s">
        <v>417</v>
      </c>
      <c r="M11" s="2" t="s">
        <v>418</v>
      </c>
      <c r="N11" s="2" t="s">
        <v>419</v>
      </c>
      <c r="O11" s="2" t="s">
        <v>420</v>
      </c>
      <c r="Q11" s="2" t="s">
        <v>421</v>
      </c>
      <c r="R11" s="2" t="s">
        <v>422</v>
      </c>
      <c r="S11" s="2" t="s">
        <v>423</v>
      </c>
      <c r="U11" s="2" t="s">
        <v>424</v>
      </c>
      <c r="V11" s="2" t="s">
        <v>425</v>
      </c>
      <c r="W11" s="2" t="s">
        <v>426</v>
      </c>
      <c r="Y11" s="2" t="s">
        <v>427</v>
      </c>
      <c r="Z11" s="2" t="s">
        <v>428</v>
      </c>
      <c r="AA11" s="2" t="s">
        <v>429</v>
      </c>
      <c r="AC11" s="2" t="s">
        <v>207</v>
      </c>
      <c r="AD11" s="2" t="s">
        <v>430</v>
      </c>
      <c r="AE11" s="2" t="s">
        <v>431</v>
      </c>
      <c r="AG11" s="2" t="s">
        <v>432</v>
      </c>
      <c r="AH11" s="2" t="s">
        <v>433</v>
      </c>
      <c r="AI11" s="2" t="s">
        <v>434</v>
      </c>
      <c r="AO11" s="2" t="s">
        <v>435</v>
      </c>
      <c r="AP11" s="2" t="s">
        <v>436</v>
      </c>
      <c r="AQ11" s="2" t="s">
        <v>437</v>
      </c>
      <c r="AS11" s="2" t="s">
        <v>438</v>
      </c>
      <c r="AT11" s="2" t="s">
        <v>439</v>
      </c>
      <c r="AU11" s="2" t="s">
        <v>440</v>
      </c>
      <c r="AW11" t="s">
        <v>242</v>
      </c>
      <c r="AX11" t="s">
        <v>243</v>
      </c>
      <c r="AY11" t="s">
        <v>441</v>
      </c>
      <c r="BJ11" t="s">
        <v>442</v>
      </c>
    </row>
    <row r="12" spans="1:73" x14ac:dyDescent="0.25">
      <c r="E12" s="29" t="s">
        <v>446</v>
      </c>
      <c r="F12" s="14" t="s">
        <v>447</v>
      </c>
      <c r="G12" s="37" t="s">
        <v>448</v>
      </c>
      <c r="I12" s="14" t="s">
        <v>449</v>
      </c>
      <c r="J12" s="14" t="s">
        <v>450</v>
      </c>
      <c r="K12" s="2" t="s">
        <v>451</v>
      </c>
      <c r="Q12" s="2" t="s">
        <v>452</v>
      </c>
      <c r="R12" s="2" t="s">
        <v>453</v>
      </c>
      <c r="S12" s="2" t="s">
        <v>454</v>
      </c>
      <c r="U12" s="2" t="s">
        <v>455</v>
      </c>
      <c r="V12" s="2" t="s">
        <v>312</v>
      </c>
      <c r="W12" s="2" t="s">
        <v>456</v>
      </c>
      <c r="Y12" s="2" t="s">
        <v>457</v>
      </c>
      <c r="Z12" s="2" t="s">
        <v>458</v>
      </c>
      <c r="AA12" s="2" t="s">
        <v>459</v>
      </c>
      <c r="AG12" s="2" t="s">
        <v>460</v>
      </c>
      <c r="AH12" s="2" t="s">
        <v>461</v>
      </c>
      <c r="AI12" s="2" t="s">
        <v>462</v>
      </c>
      <c r="AW12" t="s">
        <v>463</v>
      </c>
      <c r="BJ12" t="s">
        <v>464</v>
      </c>
    </row>
    <row r="13" spans="1:73" x14ac:dyDescent="0.25">
      <c r="E13" s="29" t="s">
        <v>468</v>
      </c>
      <c r="F13" s="14" t="s">
        <v>469</v>
      </c>
      <c r="G13" s="37" t="s">
        <v>470</v>
      </c>
      <c r="I13" s="14" t="s">
        <v>471</v>
      </c>
      <c r="J13" s="14" t="s">
        <v>472</v>
      </c>
      <c r="K13" s="2" t="s">
        <v>473</v>
      </c>
      <c r="Q13" s="2" t="s">
        <v>474</v>
      </c>
      <c r="R13" s="2" t="s">
        <v>475</v>
      </c>
      <c r="S13" s="2" t="s">
        <v>476</v>
      </c>
      <c r="U13" s="2" t="s">
        <v>477</v>
      </c>
      <c r="V13" s="2" t="s">
        <v>478</v>
      </c>
      <c r="W13" s="2" t="s">
        <v>479</v>
      </c>
      <c r="Y13" s="2" t="s">
        <v>480</v>
      </c>
      <c r="Z13" s="2" t="s">
        <v>481</v>
      </c>
      <c r="AA13" s="2" t="s">
        <v>482</v>
      </c>
      <c r="AG13" s="2" t="s">
        <v>483</v>
      </c>
      <c r="AH13" s="2" t="s">
        <v>484</v>
      </c>
      <c r="AI13" s="2" t="s">
        <v>485</v>
      </c>
      <c r="BJ13" t="s">
        <v>486</v>
      </c>
    </row>
    <row r="14" spans="1:73" x14ac:dyDescent="0.25">
      <c r="E14" s="29" t="s">
        <v>490</v>
      </c>
      <c r="F14" s="14" t="s">
        <v>491</v>
      </c>
      <c r="G14" s="37" t="s">
        <v>492</v>
      </c>
      <c r="I14" s="14" t="s">
        <v>493</v>
      </c>
      <c r="J14" s="14" t="s">
        <v>494</v>
      </c>
      <c r="K14" s="2" t="s">
        <v>495</v>
      </c>
      <c r="Q14" s="2" t="s">
        <v>496</v>
      </c>
      <c r="R14" s="2" t="s">
        <v>497</v>
      </c>
      <c r="S14" s="2" t="s">
        <v>498</v>
      </c>
      <c r="U14" s="2" t="s">
        <v>499</v>
      </c>
      <c r="V14" s="2" t="s">
        <v>500</v>
      </c>
      <c r="W14" s="2" t="s">
        <v>501</v>
      </c>
      <c r="AG14" s="2" t="s">
        <v>502</v>
      </c>
      <c r="AH14" s="2" t="s">
        <v>503</v>
      </c>
      <c r="AI14" s="2" t="s">
        <v>504</v>
      </c>
      <c r="BJ14" t="s">
        <v>505</v>
      </c>
    </row>
    <row r="15" spans="1:73" x14ac:dyDescent="0.25">
      <c r="E15" s="29" t="s">
        <v>509</v>
      </c>
      <c r="F15" s="14" t="s">
        <v>510</v>
      </c>
      <c r="G15" s="37" t="s">
        <v>511</v>
      </c>
      <c r="Q15" s="2" t="s">
        <v>512</v>
      </c>
      <c r="R15" s="2" t="s">
        <v>513</v>
      </c>
      <c r="S15" s="2" t="s">
        <v>514</v>
      </c>
      <c r="U15" s="2" t="s">
        <v>515</v>
      </c>
      <c r="V15" s="2" t="s">
        <v>516</v>
      </c>
      <c r="W15" s="2" t="s">
        <v>517</v>
      </c>
      <c r="AG15" s="2" t="s">
        <v>518</v>
      </c>
      <c r="AH15" s="2" t="s">
        <v>519</v>
      </c>
      <c r="AI15" s="2" t="s">
        <v>520</v>
      </c>
      <c r="BJ15" t="s">
        <v>521</v>
      </c>
    </row>
    <row r="16" spans="1:73" x14ac:dyDescent="0.25">
      <c r="E16" s="29" t="s">
        <v>522</v>
      </c>
      <c r="F16" s="14" t="s">
        <v>523</v>
      </c>
      <c r="G16" s="37" t="s">
        <v>524</v>
      </c>
      <c r="Q16" s="2" t="s">
        <v>525</v>
      </c>
      <c r="R16" s="2" t="s">
        <v>526</v>
      </c>
      <c r="S16" s="2" t="s">
        <v>527</v>
      </c>
      <c r="U16" s="2" t="s">
        <v>112</v>
      </c>
      <c r="V16" s="2" t="s">
        <v>113</v>
      </c>
      <c r="W16" s="2" t="s">
        <v>528</v>
      </c>
      <c r="AG16" s="2" t="s">
        <v>529</v>
      </c>
      <c r="AH16" s="2" t="s">
        <v>530</v>
      </c>
      <c r="AI16" s="2" t="s">
        <v>531</v>
      </c>
      <c r="BJ16" t="s">
        <v>532</v>
      </c>
    </row>
    <row r="17" spans="1:62" x14ac:dyDescent="0.25">
      <c r="E17" s="29" t="s">
        <v>533</v>
      </c>
      <c r="F17" s="14" t="s">
        <v>534</v>
      </c>
      <c r="G17" s="37" t="s">
        <v>535</v>
      </c>
      <c r="Q17" s="2" t="s">
        <v>536</v>
      </c>
      <c r="R17" s="2" t="s">
        <v>537</v>
      </c>
      <c r="S17" s="2" t="s">
        <v>538</v>
      </c>
      <c r="U17" s="2" t="s">
        <v>63</v>
      </c>
      <c r="V17" s="2" t="s">
        <v>304</v>
      </c>
      <c r="W17" s="2" t="s">
        <v>539</v>
      </c>
      <c r="AG17" s="2" t="s">
        <v>540</v>
      </c>
      <c r="AH17" s="2" t="s">
        <v>541</v>
      </c>
      <c r="AI17" s="2" t="s">
        <v>542</v>
      </c>
      <c r="BJ17" t="s">
        <v>543</v>
      </c>
    </row>
    <row r="18" spans="1:62" x14ac:dyDescent="0.25">
      <c r="E18" s="29" t="s">
        <v>544</v>
      </c>
      <c r="F18" s="14" t="s">
        <v>545</v>
      </c>
      <c r="G18" s="37" t="s">
        <v>546</v>
      </c>
      <c r="Q18" s="2" t="s">
        <v>547</v>
      </c>
      <c r="R18" s="2" t="s">
        <v>548</v>
      </c>
      <c r="S18" s="2" t="s">
        <v>549</v>
      </c>
      <c r="U18" s="2" t="s">
        <v>550</v>
      </c>
      <c r="V18" s="2" t="s">
        <v>67</v>
      </c>
      <c r="W18" s="2" t="s">
        <v>551</v>
      </c>
      <c r="AG18" s="2" t="s">
        <v>552</v>
      </c>
      <c r="AH18" s="2" t="s">
        <v>553</v>
      </c>
      <c r="AI18" s="2" t="s">
        <v>554</v>
      </c>
      <c r="BJ18" t="s">
        <v>555</v>
      </c>
    </row>
    <row r="19" spans="1:62" ht="15.75" customHeight="1" thickBot="1" x14ac:dyDescent="0.3">
      <c r="E19" s="32" t="s">
        <v>556</v>
      </c>
      <c r="F19" s="39" t="s">
        <v>557</v>
      </c>
      <c r="G19" s="40" t="s">
        <v>558</v>
      </c>
      <c r="Q19" s="2" t="s">
        <v>559</v>
      </c>
      <c r="R19" s="2" t="s">
        <v>560</v>
      </c>
      <c r="S19" s="2" t="s">
        <v>561</v>
      </c>
      <c r="U19" s="2" t="s">
        <v>562</v>
      </c>
      <c r="V19" s="2" t="s">
        <v>359</v>
      </c>
      <c r="W19" s="2" t="s">
        <v>563</v>
      </c>
    </row>
    <row r="20" spans="1:62" x14ac:dyDescent="0.25">
      <c r="Q20" s="2" t="s">
        <v>564</v>
      </c>
      <c r="R20" s="2" t="s">
        <v>565</v>
      </c>
      <c r="S20" s="2" t="s">
        <v>566</v>
      </c>
      <c r="U20" s="2" t="s">
        <v>567</v>
      </c>
      <c r="V20" s="2" t="s">
        <v>568</v>
      </c>
      <c r="W20" s="2" t="s">
        <v>569</v>
      </c>
    </row>
    <row r="21" spans="1:62" x14ac:dyDescent="0.25">
      <c r="Q21" s="2" t="s">
        <v>570</v>
      </c>
      <c r="R21" s="2" t="s">
        <v>571</v>
      </c>
      <c r="S21" s="2" t="s">
        <v>572</v>
      </c>
      <c r="U21" s="2" t="s">
        <v>573</v>
      </c>
      <c r="V21" s="2" t="s">
        <v>574</v>
      </c>
      <c r="W21" s="2" t="s">
        <v>575</v>
      </c>
    </row>
    <row r="22" spans="1:62" x14ac:dyDescent="0.25">
      <c r="U22" s="2" t="s">
        <v>576</v>
      </c>
      <c r="V22" s="2" t="s">
        <v>577</v>
      </c>
      <c r="W22" s="2" t="s">
        <v>578</v>
      </c>
    </row>
    <row r="26" spans="1:62" ht="15.75" customHeight="1" x14ac:dyDescent="0.25">
      <c r="A26" s="55" t="s">
        <v>579</v>
      </c>
      <c r="B26" s="56"/>
      <c r="C26" s="56"/>
    </row>
    <row r="27" spans="1:62" ht="15.75" customHeight="1" thickBot="1" x14ac:dyDescent="0.3">
      <c r="A27" s="10"/>
    </row>
    <row r="28" spans="1:62" ht="30" customHeight="1" x14ac:dyDescent="0.25">
      <c r="A28" s="19" t="s">
        <v>580</v>
      </c>
      <c r="B28" s="19" t="s">
        <v>581</v>
      </c>
      <c r="C28" s="19" t="s">
        <v>582</v>
      </c>
      <c r="D28" s="19" t="s">
        <v>583</v>
      </c>
      <c r="E28" s="19" t="s">
        <v>584</v>
      </c>
      <c r="F28" s="19" t="s">
        <v>585</v>
      </c>
      <c r="H28" s="27" t="s">
        <v>586</v>
      </c>
      <c r="I28" s="41"/>
    </row>
    <row r="29" spans="1:62" ht="30" x14ac:dyDescent="0.25">
      <c r="A29" s="20" t="s">
        <v>587</v>
      </c>
      <c r="B29" s="20" t="s">
        <v>588</v>
      </c>
      <c r="C29" s="21" t="s">
        <v>589</v>
      </c>
      <c r="D29" s="21" t="s">
        <v>590</v>
      </c>
      <c r="E29" s="20" t="s">
        <v>591</v>
      </c>
      <c r="F29" s="20" t="s">
        <v>592</v>
      </c>
      <c r="H29" s="29" t="s">
        <v>593</v>
      </c>
      <c r="I29" s="30">
        <v>1000</v>
      </c>
    </row>
    <row r="30" spans="1:62" x14ac:dyDescent="0.25">
      <c r="A30" s="20" t="s">
        <v>587</v>
      </c>
      <c r="B30" s="20" t="s">
        <v>594</v>
      </c>
      <c r="C30" s="21" t="s">
        <v>595</v>
      </c>
      <c r="D30" s="10"/>
      <c r="E30" s="20" t="s">
        <v>596</v>
      </c>
      <c r="F30" s="21" t="s">
        <v>597</v>
      </c>
      <c r="H30" s="29" t="s">
        <v>598</v>
      </c>
      <c r="I30" s="30">
        <v>800</v>
      </c>
    </row>
    <row r="31" spans="1:62" ht="45" customHeight="1" x14ac:dyDescent="0.25">
      <c r="A31" s="20" t="s">
        <v>587</v>
      </c>
      <c r="B31" s="20" t="s">
        <v>599</v>
      </c>
      <c r="C31" s="21" t="s">
        <v>600</v>
      </c>
      <c r="D31" s="10"/>
      <c r="E31" s="20" t="s">
        <v>601</v>
      </c>
      <c r="F31" s="21" t="s">
        <v>602</v>
      </c>
      <c r="H31" s="29" t="s">
        <v>603</v>
      </c>
      <c r="I31" s="31">
        <f>I28/I29</f>
        <v>0</v>
      </c>
    </row>
    <row r="32" spans="1:62" ht="30" customHeight="1" x14ac:dyDescent="0.25">
      <c r="A32" s="20" t="s">
        <v>587</v>
      </c>
      <c r="B32" s="20" t="s">
        <v>604</v>
      </c>
      <c r="C32" s="21" t="s">
        <v>605</v>
      </c>
      <c r="D32" s="21" t="s">
        <v>606</v>
      </c>
      <c r="E32" s="20" t="s">
        <v>607</v>
      </c>
      <c r="F32" s="20" t="s">
        <v>608</v>
      </c>
      <c r="H32" s="29" t="s">
        <v>609</v>
      </c>
      <c r="I32" s="31">
        <f>SQRT(I30*144/PI())*2</f>
        <v>382.9845891853754</v>
      </c>
    </row>
    <row r="33" spans="1:9" ht="30" customHeight="1" thickBot="1" x14ac:dyDescent="0.3">
      <c r="A33" s="20" t="s">
        <v>587</v>
      </c>
      <c r="B33" s="20" t="s">
        <v>610</v>
      </c>
      <c r="C33" s="21" t="s">
        <v>611</v>
      </c>
      <c r="D33" s="21" t="s">
        <v>612</v>
      </c>
      <c r="E33" s="20" t="s">
        <v>596</v>
      </c>
      <c r="F33" s="20" t="s">
        <v>613</v>
      </c>
      <c r="H33" s="29" t="s">
        <v>614</v>
      </c>
      <c r="I33" s="30">
        <v>24</v>
      </c>
    </row>
    <row r="34" spans="1:9" ht="45" customHeight="1" thickBot="1" x14ac:dyDescent="0.3">
      <c r="A34" s="20" t="s">
        <v>615</v>
      </c>
      <c r="B34" s="20" t="s">
        <v>616</v>
      </c>
      <c r="C34" s="21" t="s">
        <v>617</v>
      </c>
      <c r="D34" s="21" t="s">
        <v>618</v>
      </c>
      <c r="E34" s="20" t="s">
        <v>619</v>
      </c>
      <c r="F34" s="20" t="s">
        <v>620</v>
      </c>
      <c r="H34" s="32" t="s">
        <v>621</v>
      </c>
      <c r="I34" s="42">
        <f>(I30*144)/I32</f>
        <v>300.79539295572005</v>
      </c>
    </row>
    <row r="35" spans="1:9" ht="30" customHeight="1" x14ac:dyDescent="0.25">
      <c r="A35" s="20" t="s">
        <v>615</v>
      </c>
      <c r="B35" s="20" t="s">
        <v>622</v>
      </c>
      <c r="C35" s="21" t="s">
        <v>623</v>
      </c>
      <c r="D35" s="21" t="s">
        <v>624</v>
      </c>
      <c r="E35" s="20" t="s">
        <v>619</v>
      </c>
      <c r="F35" s="20" t="s">
        <v>625</v>
      </c>
    </row>
    <row r="36" spans="1:9" ht="30" customHeight="1" x14ac:dyDescent="0.25">
      <c r="A36" s="20" t="s">
        <v>615</v>
      </c>
      <c r="B36" s="20" t="s">
        <v>626</v>
      </c>
      <c r="C36" s="21" t="s">
        <v>627</v>
      </c>
      <c r="D36" s="10"/>
      <c r="E36" s="20" t="s">
        <v>619</v>
      </c>
      <c r="F36" s="20" t="s">
        <v>628</v>
      </c>
      <c r="H36" s="27" t="s">
        <v>629</v>
      </c>
      <c r="I36" s="28">
        <v>100</v>
      </c>
    </row>
    <row r="37" spans="1:9" ht="30" customHeight="1" x14ac:dyDescent="0.25">
      <c r="A37" s="20" t="s">
        <v>615</v>
      </c>
      <c r="B37" s="20" t="s">
        <v>630</v>
      </c>
      <c r="C37" s="21" t="s">
        <v>631</v>
      </c>
      <c r="D37" s="21" t="s">
        <v>612</v>
      </c>
      <c r="E37" s="20" t="s">
        <v>632</v>
      </c>
      <c r="F37" s="21" t="s">
        <v>633</v>
      </c>
      <c r="H37" s="29" t="s">
        <v>634</v>
      </c>
      <c r="I37" s="30">
        <v>3</v>
      </c>
    </row>
    <row r="38" spans="1:9" ht="30" customHeight="1" x14ac:dyDescent="0.25">
      <c r="A38" s="20" t="s">
        <v>615</v>
      </c>
      <c r="B38" s="20" t="s">
        <v>635</v>
      </c>
      <c r="C38" s="21" t="s">
        <v>636</v>
      </c>
      <c r="D38" s="10"/>
      <c r="E38" s="20" t="s">
        <v>637</v>
      </c>
      <c r="F38" s="20" t="s">
        <v>638</v>
      </c>
      <c r="H38" s="29" t="s">
        <v>639</v>
      </c>
      <c r="I38" s="30">
        <v>10</v>
      </c>
    </row>
    <row r="39" spans="1:9" ht="30" customHeight="1" x14ac:dyDescent="0.25">
      <c r="A39" s="20" t="s">
        <v>615</v>
      </c>
      <c r="B39" s="20" t="s">
        <v>640</v>
      </c>
      <c r="C39" s="21" t="s">
        <v>641</v>
      </c>
      <c r="D39" s="21" t="s">
        <v>642</v>
      </c>
      <c r="E39" s="20" t="s">
        <v>637</v>
      </c>
      <c r="F39" s="21" t="s">
        <v>643</v>
      </c>
      <c r="H39" s="29" t="s">
        <v>644</v>
      </c>
      <c r="I39" s="30">
        <v>120</v>
      </c>
    </row>
    <row r="40" spans="1:9" ht="30" customHeight="1" x14ac:dyDescent="0.25">
      <c r="A40" s="20" t="s">
        <v>645</v>
      </c>
      <c r="B40" s="20" t="s">
        <v>645</v>
      </c>
      <c r="C40" s="21" t="s">
        <v>646</v>
      </c>
      <c r="D40" s="21" t="s">
        <v>647</v>
      </c>
      <c r="E40" s="20" t="s">
        <v>619</v>
      </c>
      <c r="F40" s="20" t="s">
        <v>648</v>
      </c>
      <c r="H40" s="29" t="s">
        <v>649</v>
      </c>
      <c r="I40" s="31">
        <f>(I35*I38)/1000 + (I37*0.1)</f>
        <v>0.30000000000000004</v>
      </c>
    </row>
    <row r="41" spans="1:9" ht="45" customHeight="1" x14ac:dyDescent="0.25">
      <c r="A41" s="20" t="s">
        <v>645</v>
      </c>
      <c r="B41" s="20" t="s">
        <v>650</v>
      </c>
      <c r="C41" s="21" t="s">
        <v>651</v>
      </c>
      <c r="D41" s="21" t="s">
        <v>652</v>
      </c>
      <c r="E41" s="20" t="s">
        <v>619</v>
      </c>
      <c r="F41" s="20" t="s">
        <v>653</v>
      </c>
      <c r="H41" s="29" t="s">
        <v>654</v>
      </c>
      <c r="I41" s="31">
        <f>I39/3.517</f>
        <v>34.119988626670455</v>
      </c>
    </row>
    <row r="42" spans="1:9" ht="30" customHeight="1" thickBot="1" x14ac:dyDescent="0.3">
      <c r="A42" s="20" t="s">
        <v>655</v>
      </c>
      <c r="B42" s="20" t="s">
        <v>655</v>
      </c>
      <c r="C42" s="21" t="s">
        <v>656</v>
      </c>
      <c r="D42" s="21" t="s">
        <v>657</v>
      </c>
      <c r="E42" s="20" t="s">
        <v>619</v>
      </c>
      <c r="F42" s="20" t="s">
        <v>658</v>
      </c>
      <c r="H42" s="29" t="s">
        <v>659</v>
      </c>
      <c r="I42" s="31">
        <f>IF(I35*I36&gt;0, 400*I37/(I35*I36), 0)</f>
        <v>0</v>
      </c>
    </row>
    <row r="43" spans="1:9" ht="30" customHeight="1" x14ac:dyDescent="0.25">
      <c r="A43" s="20" t="s">
        <v>655</v>
      </c>
      <c r="B43" s="20" t="s">
        <v>660</v>
      </c>
      <c r="C43" s="21" t="s">
        <v>661</v>
      </c>
      <c r="D43" s="21" t="s">
        <v>662</v>
      </c>
      <c r="E43" s="20" t="s">
        <v>663</v>
      </c>
      <c r="F43" s="20" t="s">
        <v>664</v>
      </c>
      <c r="H43" s="32" t="s">
        <v>665</v>
      </c>
      <c r="I43" s="33"/>
    </row>
    <row r="44" spans="1:9" ht="30" customHeight="1" x14ac:dyDescent="0.25">
      <c r="A44" s="20" t="s">
        <v>666</v>
      </c>
      <c r="B44" s="20" t="s">
        <v>666</v>
      </c>
      <c r="C44" s="21" t="s">
        <v>667</v>
      </c>
      <c r="D44" s="21" t="s">
        <v>668</v>
      </c>
      <c r="E44" s="20" t="s">
        <v>619</v>
      </c>
      <c r="F44" s="20" t="s">
        <v>669</v>
      </c>
    </row>
    <row r="45" spans="1:9" ht="45" customHeight="1" x14ac:dyDescent="0.25">
      <c r="A45" s="20" t="s">
        <v>666</v>
      </c>
      <c r="B45" s="20" t="s">
        <v>670</v>
      </c>
      <c r="C45" s="21" t="s">
        <v>671</v>
      </c>
      <c r="D45" s="21" t="s">
        <v>672</v>
      </c>
      <c r="E45" s="20" t="s">
        <v>673</v>
      </c>
      <c r="F45" s="20" t="s">
        <v>674</v>
      </c>
    </row>
    <row r="46" spans="1:9" ht="30" customHeight="1" x14ac:dyDescent="0.25">
      <c r="A46" s="20" t="s">
        <v>275</v>
      </c>
      <c r="B46" s="20" t="s">
        <v>675</v>
      </c>
      <c r="C46" s="21" t="s">
        <v>676</v>
      </c>
      <c r="D46" s="21" t="s">
        <v>677</v>
      </c>
      <c r="E46" s="20" t="s">
        <v>678</v>
      </c>
      <c r="F46" s="20" t="s">
        <v>679</v>
      </c>
    </row>
    <row r="47" spans="1:9" ht="30" customHeight="1" x14ac:dyDescent="0.25">
      <c r="A47" s="20" t="s">
        <v>275</v>
      </c>
      <c r="B47" s="20" t="s">
        <v>680</v>
      </c>
      <c r="C47" s="21" t="s">
        <v>681</v>
      </c>
      <c r="D47" s="10"/>
      <c r="E47" s="20" t="s">
        <v>682</v>
      </c>
      <c r="F47" s="20" t="s">
        <v>683</v>
      </c>
    </row>
    <row r="48" spans="1:9" ht="30" customHeight="1" x14ac:dyDescent="0.25">
      <c r="A48" s="20" t="s">
        <v>275</v>
      </c>
      <c r="B48" s="20" t="s">
        <v>684</v>
      </c>
      <c r="C48" s="21" t="s">
        <v>685</v>
      </c>
      <c r="D48" s="10"/>
      <c r="E48" s="20" t="s">
        <v>684</v>
      </c>
      <c r="F48" s="20" t="s">
        <v>686</v>
      </c>
    </row>
    <row r="49" spans="1:6" ht="30" customHeight="1" x14ac:dyDescent="0.25">
      <c r="A49" s="20" t="s">
        <v>275</v>
      </c>
      <c r="B49" s="20" t="s">
        <v>687</v>
      </c>
      <c r="C49" s="21" t="s">
        <v>688</v>
      </c>
      <c r="D49" s="21" t="s">
        <v>689</v>
      </c>
      <c r="E49" s="20" t="s">
        <v>607</v>
      </c>
      <c r="F49" s="20" t="s">
        <v>690</v>
      </c>
    </row>
    <row r="50" spans="1:6" ht="60" customHeight="1" x14ac:dyDescent="0.25">
      <c r="A50" s="20" t="s">
        <v>691</v>
      </c>
      <c r="B50" s="20" t="s">
        <v>692</v>
      </c>
      <c r="C50" s="21" t="s">
        <v>693</v>
      </c>
      <c r="D50" s="21" t="s">
        <v>694</v>
      </c>
      <c r="E50" s="20" t="s">
        <v>695</v>
      </c>
      <c r="F50" s="20" t="s">
        <v>696</v>
      </c>
    </row>
    <row r="51" spans="1:6" ht="30" customHeight="1" x14ac:dyDescent="0.25">
      <c r="A51" s="20" t="s">
        <v>691</v>
      </c>
      <c r="B51" s="20" t="s">
        <v>697</v>
      </c>
      <c r="C51" s="21" t="s">
        <v>698</v>
      </c>
      <c r="D51" s="21" t="s">
        <v>699</v>
      </c>
      <c r="E51" s="20" t="s">
        <v>678</v>
      </c>
      <c r="F51" s="20" t="s">
        <v>700</v>
      </c>
    </row>
    <row r="52" spans="1:6" ht="30" x14ac:dyDescent="0.25">
      <c r="A52" s="20" t="s">
        <v>701</v>
      </c>
      <c r="B52" s="20" t="s">
        <v>702</v>
      </c>
      <c r="C52" s="21" t="s">
        <v>703</v>
      </c>
      <c r="D52" s="21" t="s">
        <v>704</v>
      </c>
      <c r="E52" s="20" t="s">
        <v>705</v>
      </c>
      <c r="F52" s="20" t="s">
        <v>706</v>
      </c>
    </row>
    <row r="53" spans="1:6" ht="45" customHeight="1" x14ac:dyDescent="0.25">
      <c r="A53" s="20" t="s">
        <v>701</v>
      </c>
      <c r="B53" s="20" t="s">
        <v>707</v>
      </c>
      <c r="C53" s="21" t="s">
        <v>708</v>
      </c>
      <c r="D53" s="21" t="s">
        <v>709</v>
      </c>
      <c r="E53" s="20" t="s">
        <v>710</v>
      </c>
      <c r="F53" s="10"/>
    </row>
    <row r="54" spans="1:6" ht="45" customHeight="1" x14ac:dyDescent="0.25">
      <c r="A54" s="20" t="s">
        <v>701</v>
      </c>
      <c r="B54" s="20" t="s">
        <v>711</v>
      </c>
      <c r="C54" s="21" t="s">
        <v>712</v>
      </c>
      <c r="D54" s="21" t="s">
        <v>713</v>
      </c>
      <c r="E54" s="20" t="s">
        <v>714</v>
      </c>
      <c r="F54" s="20" t="s">
        <v>715</v>
      </c>
    </row>
    <row r="55" spans="1:6" ht="30" customHeight="1" x14ac:dyDescent="0.25">
      <c r="A55" s="20" t="s">
        <v>716</v>
      </c>
      <c r="B55" s="20" t="s">
        <v>717</v>
      </c>
      <c r="C55" s="21" t="s">
        <v>718</v>
      </c>
      <c r="D55" s="21" t="s">
        <v>719</v>
      </c>
      <c r="E55" s="20" t="s">
        <v>663</v>
      </c>
      <c r="F55" s="20" t="s">
        <v>720</v>
      </c>
    </row>
    <row r="56" spans="1:6" ht="30" customHeight="1" x14ac:dyDescent="0.25">
      <c r="A56" s="20" t="s">
        <v>716</v>
      </c>
      <c r="B56" s="20" t="s">
        <v>721</v>
      </c>
      <c r="C56" s="21" t="s">
        <v>722</v>
      </c>
      <c r="D56" s="21" t="s">
        <v>723</v>
      </c>
      <c r="E56" s="20" t="s">
        <v>663</v>
      </c>
      <c r="F56" s="20" t="s">
        <v>724</v>
      </c>
    </row>
    <row r="57" spans="1:6" x14ac:dyDescent="0.25">
      <c r="A57" s="20" t="s">
        <v>725</v>
      </c>
      <c r="B57" s="20" t="s">
        <v>726</v>
      </c>
      <c r="C57" s="21" t="s">
        <v>703</v>
      </c>
      <c r="D57" s="10"/>
      <c r="E57" s="20" t="s">
        <v>705</v>
      </c>
      <c r="F57" s="20" t="s">
        <v>727</v>
      </c>
    </row>
    <row r="58" spans="1:6" ht="30" customHeight="1" x14ac:dyDescent="0.25">
      <c r="A58" s="20" t="s">
        <v>725</v>
      </c>
      <c r="B58" s="20" t="s">
        <v>728</v>
      </c>
      <c r="C58" s="21" t="s">
        <v>729</v>
      </c>
      <c r="D58" s="21" t="s">
        <v>730</v>
      </c>
      <c r="E58" s="20" t="s">
        <v>710</v>
      </c>
      <c r="F58" s="10"/>
    </row>
    <row r="59" spans="1:6" ht="30" customHeight="1" x14ac:dyDescent="0.25">
      <c r="A59" s="20" t="s">
        <v>731</v>
      </c>
      <c r="B59" s="20" t="s">
        <v>732</v>
      </c>
      <c r="C59" s="21" t="s">
        <v>718</v>
      </c>
      <c r="D59" s="10"/>
      <c r="E59" s="20" t="s">
        <v>663</v>
      </c>
      <c r="F59" s="20" t="s">
        <v>733</v>
      </c>
    </row>
    <row r="60" spans="1:6" ht="30" customHeight="1" x14ac:dyDescent="0.25">
      <c r="A60" s="20" t="s">
        <v>731</v>
      </c>
      <c r="B60" s="20" t="s">
        <v>734</v>
      </c>
      <c r="C60" s="21" t="s">
        <v>735</v>
      </c>
      <c r="D60" s="21" t="s">
        <v>736</v>
      </c>
      <c r="E60" s="20" t="s">
        <v>737</v>
      </c>
      <c r="F60" s="20" t="s">
        <v>738</v>
      </c>
    </row>
    <row r="61" spans="1:6" ht="30" customHeight="1" x14ac:dyDescent="0.25">
      <c r="A61" s="20" t="s">
        <v>739</v>
      </c>
      <c r="B61" s="20" t="s">
        <v>740</v>
      </c>
      <c r="C61" s="21" t="s">
        <v>741</v>
      </c>
      <c r="D61" s="21" t="s">
        <v>742</v>
      </c>
      <c r="E61" s="20" t="s">
        <v>601</v>
      </c>
      <c r="F61" s="20" t="s">
        <v>743</v>
      </c>
    </row>
    <row r="62" spans="1:6" ht="60" customHeight="1" x14ac:dyDescent="0.25">
      <c r="A62" s="20" t="s">
        <v>739</v>
      </c>
      <c r="B62" s="20" t="s">
        <v>744</v>
      </c>
      <c r="C62" s="21" t="s">
        <v>745</v>
      </c>
      <c r="D62" s="21" t="s">
        <v>746</v>
      </c>
      <c r="E62" s="20" t="s">
        <v>678</v>
      </c>
      <c r="F62" s="20" t="s">
        <v>747</v>
      </c>
    </row>
    <row r="63" spans="1:6" ht="30" customHeight="1" x14ac:dyDescent="0.25">
      <c r="A63" s="20" t="s">
        <v>748</v>
      </c>
      <c r="B63" s="20" t="s">
        <v>749</v>
      </c>
      <c r="C63" s="21" t="s">
        <v>750</v>
      </c>
      <c r="D63" s="21" t="s">
        <v>751</v>
      </c>
      <c r="E63" s="20" t="s">
        <v>752</v>
      </c>
      <c r="F63" s="20" t="s">
        <v>753</v>
      </c>
    </row>
    <row r="64" spans="1:6" ht="30" customHeight="1" x14ac:dyDescent="0.25">
      <c r="A64" s="20" t="s">
        <v>748</v>
      </c>
      <c r="B64" s="20" t="s">
        <v>754</v>
      </c>
      <c r="C64" s="21" t="s">
        <v>755</v>
      </c>
      <c r="D64" s="21" t="s">
        <v>756</v>
      </c>
      <c r="E64" s="20" t="s">
        <v>757</v>
      </c>
      <c r="F64" s="20" t="s">
        <v>758</v>
      </c>
    </row>
    <row r="65" spans="1:6" ht="60" customHeight="1" x14ac:dyDescent="0.25">
      <c r="A65" s="20" t="s">
        <v>748</v>
      </c>
      <c r="B65" s="20" t="s">
        <v>759</v>
      </c>
      <c r="C65" s="21" t="s">
        <v>760</v>
      </c>
      <c r="D65" s="21" t="s">
        <v>761</v>
      </c>
      <c r="E65" s="20" t="s">
        <v>762</v>
      </c>
      <c r="F65" s="20" t="s">
        <v>763</v>
      </c>
    </row>
    <row r="66" spans="1:6" ht="30" customHeight="1" x14ac:dyDescent="0.25">
      <c r="A66" s="20" t="s">
        <v>764</v>
      </c>
      <c r="B66" s="20" t="s">
        <v>765</v>
      </c>
      <c r="C66" s="21" t="s">
        <v>766</v>
      </c>
      <c r="D66" s="21" t="s">
        <v>767</v>
      </c>
      <c r="E66" s="20" t="s">
        <v>768</v>
      </c>
      <c r="F66" s="20" t="s">
        <v>769</v>
      </c>
    </row>
    <row r="67" spans="1:6" ht="30" customHeight="1" x14ac:dyDescent="0.25">
      <c r="A67" s="20" t="s">
        <v>764</v>
      </c>
      <c r="B67" s="20" t="s">
        <v>770</v>
      </c>
      <c r="C67" s="21" t="s">
        <v>771</v>
      </c>
      <c r="D67" s="21" t="s">
        <v>772</v>
      </c>
      <c r="E67" s="20" t="s">
        <v>773</v>
      </c>
      <c r="F67" s="20" t="s">
        <v>774</v>
      </c>
    </row>
    <row r="68" spans="1:6" ht="30" customHeight="1" x14ac:dyDescent="0.25">
      <c r="A68" s="20" t="s">
        <v>775</v>
      </c>
      <c r="B68" s="20" t="s">
        <v>776</v>
      </c>
      <c r="C68" s="21" t="s">
        <v>777</v>
      </c>
      <c r="D68" s="10"/>
      <c r="E68" s="20" t="s">
        <v>778</v>
      </c>
      <c r="F68" s="20" t="s">
        <v>779</v>
      </c>
    </row>
    <row r="69" spans="1:6" x14ac:dyDescent="0.25">
      <c r="A69" s="20" t="s">
        <v>775</v>
      </c>
      <c r="B69" s="20" t="s">
        <v>780</v>
      </c>
      <c r="C69" s="21" t="s">
        <v>781</v>
      </c>
      <c r="D69" s="10"/>
      <c r="E69" s="20" t="s">
        <v>778</v>
      </c>
      <c r="F69" s="20" t="s">
        <v>782</v>
      </c>
    </row>
    <row r="72" spans="1:6" ht="25.5" customHeight="1" x14ac:dyDescent="0.25">
      <c r="A72" s="13" t="s">
        <v>783</v>
      </c>
    </row>
    <row r="73" spans="1:6" ht="25.5" x14ac:dyDescent="0.25">
      <c r="A73" s="24" t="s">
        <v>784</v>
      </c>
      <c r="B73" s="24" t="s">
        <v>785</v>
      </c>
      <c r="C73" s="24" t="s">
        <v>786</v>
      </c>
    </row>
    <row r="74" spans="1:6" x14ac:dyDescent="0.25">
      <c r="A74" s="14" t="s">
        <v>787</v>
      </c>
      <c r="B74" s="14" t="s">
        <v>788</v>
      </c>
      <c r="C74" s="14" t="s">
        <v>789</v>
      </c>
    </row>
    <row r="75" spans="1:6" x14ac:dyDescent="0.25">
      <c r="A75" s="14" t="s">
        <v>790</v>
      </c>
      <c r="B75" s="14" t="s">
        <v>791</v>
      </c>
      <c r="C75" s="14" t="s">
        <v>792</v>
      </c>
    </row>
    <row r="76" spans="1:6" x14ac:dyDescent="0.25">
      <c r="A76" s="14" t="s">
        <v>793</v>
      </c>
      <c r="B76" s="14" t="s">
        <v>794</v>
      </c>
      <c r="C76" s="14" t="s">
        <v>795</v>
      </c>
    </row>
    <row r="77" spans="1:6" x14ac:dyDescent="0.25">
      <c r="A77" s="14" t="s">
        <v>796</v>
      </c>
      <c r="B77" s="14" t="s">
        <v>797</v>
      </c>
      <c r="C77" s="14" t="s">
        <v>798</v>
      </c>
    </row>
    <row r="78" spans="1:6" x14ac:dyDescent="0.25">
      <c r="A78" s="14" t="s">
        <v>799</v>
      </c>
      <c r="B78" s="14" t="s">
        <v>800</v>
      </c>
      <c r="C78" s="14" t="s">
        <v>801</v>
      </c>
    </row>
    <row r="79" spans="1:6" x14ac:dyDescent="0.25">
      <c r="A79" s="14" t="s">
        <v>802</v>
      </c>
      <c r="B79" s="14" t="s">
        <v>803</v>
      </c>
      <c r="C79" s="14" t="s">
        <v>804</v>
      </c>
    </row>
    <row r="80" spans="1:6" x14ac:dyDescent="0.25">
      <c r="A80" s="14" t="s">
        <v>805</v>
      </c>
      <c r="B80" s="14" t="s">
        <v>806</v>
      </c>
      <c r="C80" s="14" t="s">
        <v>807</v>
      </c>
    </row>
    <row r="81" spans="1:3" x14ac:dyDescent="0.25">
      <c r="A81" s="14" t="s">
        <v>808</v>
      </c>
      <c r="B81" s="14" t="s">
        <v>809</v>
      </c>
      <c r="C81" s="14" t="s">
        <v>810</v>
      </c>
    </row>
    <row r="82" spans="1:3" x14ac:dyDescent="0.25">
      <c r="A82" s="14" t="s">
        <v>811</v>
      </c>
      <c r="B82" s="14" t="s">
        <v>812</v>
      </c>
      <c r="C82" s="14" t="s">
        <v>813</v>
      </c>
    </row>
    <row r="83" spans="1:3" x14ac:dyDescent="0.25">
      <c r="A83" s="14" t="s">
        <v>814</v>
      </c>
      <c r="B83" s="14" t="s">
        <v>815</v>
      </c>
      <c r="C83" s="14" t="s">
        <v>816</v>
      </c>
    </row>
    <row r="84" spans="1:3" x14ac:dyDescent="0.25">
      <c r="A84" s="14" t="s">
        <v>817</v>
      </c>
      <c r="B84" s="14" t="s">
        <v>818</v>
      </c>
      <c r="C84" s="14" t="s">
        <v>819</v>
      </c>
    </row>
    <row r="85" spans="1:3" x14ac:dyDescent="0.25">
      <c r="A85" s="14" t="s">
        <v>820</v>
      </c>
      <c r="B85" s="14" t="s">
        <v>821</v>
      </c>
      <c r="C85" s="14" t="s">
        <v>822</v>
      </c>
    </row>
    <row r="86" spans="1:3" x14ac:dyDescent="0.25">
      <c r="A86" s="14" t="s">
        <v>823</v>
      </c>
      <c r="B86" s="14" t="s">
        <v>824</v>
      </c>
      <c r="C86" s="14" t="s">
        <v>825</v>
      </c>
    </row>
    <row r="87" spans="1:3" x14ac:dyDescent="0.25">
      <c r="A87" s="14" t="s">
        <v>826</v>
      </c>
      <c r="B87" s="14" t="s">
        <v>827</v>
      </c>
      <c r="C87" s="14" t="s">
        <v>828</v>
      </c>
    </row>
    <row r="88" spans="1:3" x14ac:dyDescent="0.25">
      <c r="A88" s="14" t="s">
        <v>829</v>
      </c>
      <c r="B88" s="14" t="s">
        <v>221</v>
      </c>
      <c r="C88" s="14" t="s">
        <v>830</v>
      </c>
    </row>
    <row r="91" spans="1:3" x14ac:dyDescent="0.25">
      <c r="A91" s="48"/>
      <c r="B91" s="48"/>
      <c r="C91" s="48"/>
    </row>
    <row r="92" spans="1:3" ht="25.5" customHeight="1" x14ac:dyDescent="0.25">
      <c r="A92" s="13" t="s">
        <v>831</v>
      </c>
      <c r="B92" s="25"/>
      <c r="C92" s="26"/>
    </row>
    <row r="93" spans="1:3" ht="25.5" x14ac:dyDescent="0.25">
      <c r="A93" s="24" t="s">
        <v>784</v>
      </c>
      <c r="B93" s="24" t="s">
        <v>785</v>
      </c>
      <c r="C93" s="24" t="s">
        <v>786</v>
      </c>
    </row>
    <row r="94" spans="1:3" x14ac:dyDescent="0.25">
      <c r="A94" s="14" t="s">
        <v>832</v>
      </c>
      <c r="B94" s="14" t="s">
        <v>833</v>
      </c>
      <c r="C94" s="14" t="s">
        <v>834</v>
      </c>
    </row>
    <row r="95" spans="1:3" x14ac:dyDescent="0.25">
      <c r="A95" s="14" t="s">
        <v>835</v>
      </c>
      <c r="B95" s="14" t="s">
        <v>836</v>
      </c>
      <c r="C95" s="14" t="s">
        <v>837</v>
      </c>
    </row>
    <row r="96" spans="1:3" x14ac:dyDescent="0.25">
      <c r="A96" s="14" t="s">
        <v>838</v>
      </c>
      <c r="B96" s="14" t="s">
        <v>839</v>
      </c>
      <c r="C96" s="14" t="s">
        <v>840</v>
      </c>
    </row>
    <row r="97" spans="1:3" x14ac:dyDescent="0.25">
      <c r="A97" s="14" t="s">
        <v>841</v>
      </c>
      <c r="B97" s="14" t="s">
        <v>842</v>
      </c>
      <c r="C97" s="14" t="s">
        <v>843</v>
      </c>
    </row>
    <row r="98" spans="1:3" x14ac:dyDescent="0.25">
      <c r="A98" s="14" t="s">
        <v>844</v>
      </c>
      <c r="B98" s="14" t="s">
        <v>845</v>
      </c>
      <c r="C98" s="14" t="s">
        <v>846</v>
      </c>
    </row>
    <row r="99" spans="1:3" x14ac:dyDescent="0.25">
      <c r="A99" s="14" t="s">
        <v>847</v>
      </c>
      <c r="B99" s="14" t="s">
        <v>848</v>
      </c>
      <c r="C99" s="14" t="s">
        <v>849</v>
      </c>
    </row>
    <row r="100" spans="1:3" x14ac:dyDescent="0.25">
      <c r="A100" s="14" t="s">
        <v>850</v>
      </c>
      <c r="B100" s="14" t="s">
        <v>851</v>
      </c>
      <c r="C100" s="14" t="s">
        <v>852</v>
      </c>
    </row>
    <row r="101" spans="1:3" x14ac:dyDescent="0.25">
      <c r="A101" s="14" t="s">
        <v>853</v>
      </c>
      <c r="B101" s="14" t="s">
        <v>854</v>
      </c>
      <c r="C101" s="14" t="s">
        <v>855</v>
      </c>
    </row>
    <row r="102" spans="1:3" x14ac:dyDescent="0.25">
      <c r="A102" s="14" t="s">
        <v>856</v>
      </c>
      <c r="B102" s="14" t="s">
        <v>857</v>
      </c>
      <c r="C102" s="14" t="s">
        <v>858</v>
      </c>
    </row>
    <row r="103" spans="1:3" x14ac:dyDescent="0.25">
      <c r="A103" s="14" t="s">
        <v>859</v>
      </c>
      <c r="B103" s="14" t="s">
        <v>221</v>
      </c>
      <c r="C103" s="14" t="s">
        <v>860</v>
      </c>
    </row>
    <row r="104" spans="1:3" x14ac:dyDescent="0.25">
      <c r="A104" s="14" t="s">
        <v>861</v>
      </c>
      <c r="B104" s="14" t="s">
        <v>862</v>
      </c>
      <c r="C104" s="14" t="s">
        <v>863</v>
      </c>
    </row>
    <row r="105" spans="1:3" x14ac:dyDescent="0.25">
      <c r="A105" s="14" t="s">
        <v>864</v>
      </c>
      <c r="B105" s="14" t="s">
        <v>865</v>
      </c>
      <c r="C105" s="14" t="s">
        <v>866</v>
      </c>
    </row>
    <row r="108" spans="1:3" x14ac:dyDescent="0.25">
      <c r="A108" s="48"/>
      <c r="B108" s="48"/>
      <c r="C108" s="48"/>
    </row>
    <row r="109" spans="1:3" ht="25.5" customHeight="1" x14ac:dyDescent="0.25">
      <c r="A109" s="13" t="s">
        <v>867</v>
      </c>
      <c r="B109" s="25"/>
      <c r="C109" s="26"/>
    </row>
    <row r="110" spans="1:3" ht="25.5" x14ac:dyDescent="0.25">
      <c r="A110" s="24" t="s">
        <v>784</v>
      </c>
      <c r="B110" s="24" t="s">
        <v>785</v>
      </c>
      <c r="C110" s="24" t="s">
        <v>786</v>
      </c>
    </row>
    <row r="111" spans="1:3" x14ac:dyDescent="0.25">
      <c r="A111" s="14" t="s">
        <v>868</v>
      </c>
      <c r="B111" s="14" t="s">
        <v>869</v>
      </c>
      <c r="C111" s="14" t="s">
        <v>870</v>
      </c>
    </row>
    <row r="112" spans="1:3" x14ac:dyDescent="0.25">
      <c r="A112" s="14" t="s">
        <v>871</v>
      </c>
      <c r="B112" s="14" t="s">
        <v>872</v>
      </c>
      <c r="C112" s="14" t="s">
        <v>873</v>
      </c>
    </row>
    <row r="113" spans="1:3" x14ac:dyDescent="0.25">
      <c r="A113" s="14" t="s">
        <v>874</v>
      </c>
      <c r="B113" s="14" t="s">
        <v>875</v>
      </c>
      <c r="C113" s="14" t="s">
        <v>876</v>
      </c>
    </row>
    <row r="114" spans="1:3" x14ac:dyDescent="0.25">
      <c r="A114" s="14" t="s">
        <v>877</v>
      </c>
      <c r="B114" s="14" t="s">
        <v>878</v>
      </c>
      <c r="C114" s="14" t="s">
        <v>879</v>
      </c>
    </row>
    <row r="115" spans="1:3" x14ac:dyDescent="0.25">
      <c r="A115" s="14" t="s">
        <v>402</v>
      </c>
      <c r="B115" s="14" t="s">
        <v>880</v>
      </c>
      <c r="C115" s="14" t="s">
        <v>881</v>
      </c>
    </row>
    <row r="116" spans="1:3" x14ac:dyDescent="0.25">
      <c r="A116" s="14" t="s">
        <v>882</v>
      </c>
      <c r="B116" s="14" t="s">
        <v>883</v>
      </c>
      <c r="C116" s="14" t="s">
        <v>884</v>
      </c>
    </row>
    <row r="117" spans="1:3" x14ac:dyDescent="0.25">
      <c r="A117" s="14" t="s">
        <v>885</v>
      </c>
      <c r="B117" s="14" t="s">
        <v>886</v>
      </c>
      <c r="C117" s="14" t="s">
        <v>887</v>
      </c>
    </row>
    <row r="118" spans="1:3" x14ac:dyDescent="0.25">
      <c r="A118" s="14" t="s">
        <v>888</v>
      </c>
      <c r="B118" s="14" t="s">
        <v>889</v>
      </c>
      <c r="C118" s="14" t="s">
        <v>890</v>
      </c>
    </row>
    <row r="119" spans="1:3" x14ac:dyDescent="0.25">
      <c r="A119" s="14" t="s">
        <v>891</v>
      </c>
      <c r="B119" s="14" t="s">
        <v>892</v>
      </c>
      <c r="C119" s="14" t="s">
        <v>893</v>
      </c>
    </row>
    <row r="120" spans="1:3" x14ac:dyDescent="0.25">
      <c r="A120" s="14" t="s">
        <v>894</v>
      </c>
      <c r="B120" s="14" t="s">
        <v>895</v>
      </c>
      <c r="C120" s="14" t="s">
        <v>896</v>
      </c>
    </row>
    <row r="121" spans="1:3" x14ac:dyDescent="0.25">
      <c r="A121" s="14" t="s">
        <v>897</v>
      </c>
      <c r="B121" s="14" t="s">
        <v>898</v>
      </c>
      <c r="C121" s="14" t="s">
        <v>899</v>
      </c>
    </row>
    <row r="122" spans="1:3" x14ac:dyDescent="0.25">
      <c r="A122" s="14" t="s">
        <v>900</v>
      </c>
      <c r="B122" s="14" t="s">
        <v>901</v>
      </c>
      <c r="C122" s="14" t="s">
        <v>902</v>
      </c>
    </row>
    <row r="123" spans="1:3" x14ac:dyDescent="0.25">
      <c r="A123" s="14" t="s">
        <v>903</v>
      </c>
      <c r="B123" s="14" t="s">
        <v>904</v>
      </c>
      <c r="C123" s="14" t="s">
        <v>905</v>
      </c>
    </row>
    <row r="124" spans="1:3" x14ac:dyDescent="0.25">
      <c r="A124" s="14" t="s">
        <v>906</v>
      </c>
      <c r="B124" s="14" t="s">
        <v>907</v>
      </c>
      <c r="C124" s="14" t="s">
        <v>908</v>
      </c>
    </row>
    <row r="125" spans="1:3" x14ac:dyDescent="0.25">
      <c r="A125" s="14" t="s">
        <v>909</v>
      </c>
      <c r="B125" s="14" t="s">
        <v>910</v>
      </c>
      <c r="C125" s="14" t="s">
        <v>911</v>
      </c>
    </row>
    <row r="128" spans="1:3" ht="15.75" customHeight="1" x14ac:dyDescent="0.25"/>
    <row r="129" spans="1:9" ht="15.75" x14ac:dyDescent="0.25">
      <c r="A129" s="7" t="s">
        <v>912</v>
      </c>
    </row>
    <row r="130" spans="1:9" x14ac:dyDescent="0.25">
      <c r="A130" s="8" t="s">
        <v>913</v>
      </c>
    </row>
    <row r="131" spans="1:9" x14ac:dyDescent="0.25">
      <c r="B131" t="s">
        <v>72</v>
      </c>
      <c r="C131" t="s">
        <v>914</v>
      </c>
      <c r="E131" t="s">
        <v>442</v>
      </c>
      <c r="F131" t="s">
        <v>915</v>
      </c>
      <c r="H131" t="s">
        <v>73</v>
      </c>
      <c r="I131" t="s">
        <v>916</v>
      </c>
    </row>
    <row r="132" spans="1:9" x14ac:dyDescent="0.25">
      <c r="A132" s="9" t="s">
        <v>917</v>
      </c>
      <c r="B132" s="9" t="s">
        <v>120</v>
      </c>
      <c r="C132" s="9" t="s">
        <v>918</v>
      </c>
      <c r="D132" s="9" t="s">
        <v>919</v>
      </c>
      <c r="E132" s="9" t="s">
        <v>464</v>
      </c>
      <c r="F132" s="9" t="s">
        <v>920</v>
      </c>
      <c r="G132" s="9" t="s">
        <v>921</v>
      </c>
      <c r="H132" s="9" t="s">
        <v>122</v>
      </c>
      <c r="I132" t="s">
        <v>922</v>
      </c>
    </row>
    <row r="133" spans="1:9" x14ac:dyDescent="0.25">
      <c r="A133" t="s">
        <v>923</v>
      </c>
      <c r="B133" t="s">
        <v>168</v>
      </c>
      <c r="C133" t="s">
        <v>924</v>
      </c>
      <c r="D133">
        <v>35</v>
      </c>
      <c r="E133" t="s">
        <v>486</v>
      </c>
      <c r="F133" t="s">
        <v>925</v>
      </c>
      <c r="G133" t="e">
        <f>E132/3.517</f>
        <v>#VALUE!</v>
      </c>
      <c r="H133" t="s">
        <v>171</v>
      </c>
      <c r="I133" t="s">
        <v>926</v>
      </c>
    </row>
    <row r="134" spans="1:9" x14ac:dyDescent="0.25">
      <c r="A134" t="s">
        <v>927</v>
      </c>
      <c r="B134" t="s">
        <v>216</v>
      </c>
      <c r="C134" t="s">
        <v>928</v>
      </c>
      <c r="D134">
        <v>12</v>
      </c>
      <c r="E134" t="s">
        <v>929</v>
      </c>
      <c r="F134" t="s">
        <v>930</v>
      </c>
      <c r="G134" t="e">
        <f>E133/3.517</f>
        <v>#VALUE!</v>
      </c>
      <c r="H134" t="s">
        <v>221</v>
      </c>
      <c r="I134" t="s">
        <v>931</v>
      </c>
    </row>
    <row r="135" spans="1:9" x14ac:dyDescent="0.25">
      <c r="A135" t="s">
        <v>932</v>
      </c>
      <c r="B135" t="s">
        <v>264</v>
      </c>
      <c r="C135" t="s">
        <v>933</v>
      </c>
      <c r="D135">
        <v>25</v>
      </c>
      <c r="E135" t="s">
        <v>934</v>
      </c>
      <c r="F135" t="s">
        <v>935</v>
      </c>
      <c r="G135" t="e">
        <f>E134/3.517</f>
        <v>#VALUE!</v>
      </c>
      <c r="H135" t="s">
        <v>269</v>
      </c>
      <c r="I135" t="s">
        <v>936</v>
      </c>
    </row>
    <row r="136" spans="1:9" x14ac:dyDescent="0.25">
      <c r="A136" t="s">
        <v>937</v>
      </c>
      <c r="B136" t="s">
        <v>938</v>
      </c>
      <c r="C136" t="s">
        <v>939</v>
      </c>
      <c r="D136">
        <v>15</v>
      </c>
      <c r="E136" t="s">
        <v>940</v>
      </c>
      <c r="F136" t="s">
        <v>941</v>
      </c>
      <c r="G136" t="e">
        <f>E135/3.517</f>
        <v>#VALUE!</v>
      </c>
      <c r="H136" t="s">
        <v>942</v>
      </c>
      <c r="I136" t="s">
        <v>943</v>
      </c>
    </row>
    <row r="137" spans="1:9" x14ac:dyDescent="0.25">
      <c r="A137" s="5"/>
      <c r="B137" s="5" t="s">
        <v>944</v>
      </c>
      <c r="C137" s="5" t="s">
        <v>945</v>
      </c>
      <c r="D137" s="5"/>
      <c r="E137" s="5" t="s">
        <v>946</v>
      </c>
      <c r="F137" s="5" t="s">
        <v>947</v>
      </c>
      <c r="G137" s="5">
        <f>SUM(F132:F135)</f>
        <v>0</v>
      </c>
      <c r="H137" s="5" t="s">
        <v>948</v>
      </c>
      <c r="I137" t="s">
        <v>949</v>
      </c>
    </row>
    <row r="138" spans="1:9" x14ac:dyDescent="0.25">
      <c r="B138" t="s">
        <v>950</v>
      </c>
      <c r="C138" t="s">
        <v>951</v>
      </c>
    </row>
    <row r="142" spans="1:9" ht="60" customHeight="1" x14ac:dyDescent="0.25"/>
    <row r="143" spans="1:9" ht="60" x14ac:dyDescent="0.25">
      <c r="A143" s="6" t="s">
        <v>952</v>
      </c>
      <c r="B143" s="6" t="s">
        <v>953</v>
      </c>
      <c r="C143" s="6" t="s">
        <v>954</v>
      </c>
      <c r="D143" s="6" t="s">
        <v>955</v>
      </c>
      <c r="E143" s="6" t="s">
        <v>956</v>
      </c>
      <c r="F143" s="6" t="s">
        <v>957</v>
      </c>
    </row>
    <row r="145" spans="1:6" x14ac:dyDescent="0.25">
      <c r="A145" t="s">
        <v>958</v>
      </c>
      <c r="B145" t="s">
        <v>959</v>
      </c>
      <c r="C145" t="s">
        <v>960</v>
      </c>
      <c r="D145" t="s">
        <v>584</v>
      </c>
      <c r="E145" t="s">
        <v>585</v>
      </c>
      <c r="F145" t="s">
        <v>961</v>
      </c>
    </row>
    <row r="146" spans="1:6" x14ac:dyDescent="0.25">
      <c r="A146" t="s">
        <v>962</v>
      </c>
      <c r="B146" t="s">
        <v>963</v>
      </c>
      <c r="C146" t="s">
        <v>964</v>
      </c>
      <c r="D146" t="s">
        <v>965</v>
      </c>
      <c r="E146" t="s">
        <v>966</v>
      </c>
      <c r="F146" t="s">
        <v>896</v>
      </c>
    </row>
    <row r="147" spans="1:6" x14ac:dyDescent="0.25">
      <c r="A147" t="s">
        <v>967</v>
      </c>
      <c r="B147" t="s">
        <v>968</v>
      </c>
      <c r="C147" t="s">
        <v>969</v>
      </c>
      <c r="D147" t="s">
        <v>965</v>
      </c>
      <c r="E147" t="s">
        <v>966</v>
      </c>
      <c r="F147" t="s">
        <v>896</v>
      </c>
    </row>
    <row r="148" spans="1:6" x14ac:dyDescent="0.25">
      <c r="A148" t="s">
        <v>970</v>
      </c>
      <c r="B148" t="s">
        <v>971</v>
      </c>
      <c r="C148" t="s">
        <v>972</v>
      </c>
      <c r="D148" t="s">
        <v>965</v>
      </c>
      <c r="E148" t="s">
        <v>973</v>
      </c>
      <c r="F148" t="s">
        <v>974</v>
      </c>
    </row>
    <row r="149" spans="1:6" x14ac:dyDescent="0.25">
      <c r="A149" t="s">
        <v>975</v>
      </c>
      <c r="B149" t="s">
        <v>976</v>
      </c>
      <c r="C149" t="s">
        <v>977</v>
      </c>
      <c r="D149" t="s">
        <v>965</v>
      </c>
      <c r="E149" t="s">
        <v>978</v>
      </c>
      <c r="F149" t="s">
        <v>974</v>
      </c>
    </row>
    <row r="150" spans="1:6" x14ac:dyDescent="0.25">
      <c r="A150" t="s">
        <v>979</v>
      </c>
      <c r="B150" t="s">
        <v>980</v>
      </c>
      <c r="C150" t="s">
        <v>981</v>
      </c>
      <c r="D150" t="s">
        <v>752</v>
      </c>
      <c r="E150" t="s">
        <v>973</v>
      </c>
      <c r="F150" t="s">
        <v>974</v>
      </c>
    </row>
    <row r="151" spans="1:6" x14ac:dyDescent="0.25">
      <c r="A151" t="s">
        <v>982</v>
      </c>
      <c r="B151" t="s">
        <v>983</v>
      </c>
      <c r="C151" t="s">
        <v>983</v>
      </c>
      <c r="D151" t="s">
        <v>984</v>
      </c>
      <c r="E151" t="s">
        <v>985</v>
      </c>
      <c r="F151" t="s">
        <v>986</v>
      </c>
    </row>
    <row r="152" spans="1:6" x14ac:dyDescent="0.25">
      <c r="A152" t="s">
        <v>987</v>
      </c>
      <c r="B152" t="s">
        <v>983</v>
      </c>
      <c r="C152" t="s">
        <v>983</v>
      </c>
      <c r="D152" t="s">
        <v>984</v>
      </c>
      <c r="E152" t="s">
        <v>988</v>
      </c>
      <c r="F152" t="s">
        <v>986</v>
      </c>
    </row>
    <row r="153" spans="1:6" x14ac:dyDescent="0.25">
      <c r="A153" t="s">
        <v>989</v>
      </c>
      <c r="B153" t="s">
        <v>990</v>
      </c>
      <c r="C153" t="s">
        <v>990</v>
      </c>
      <c r="D153" t="s">
        <v>128</v>
      </c>
      <c r="E153" t="s">
        <v>991</v>
      </c>
      <c r="F153" t="s">
        <v>986</v>
      </c>
    </row>
    <row r="154" spans="1:6" x14ac:dyDescent="0.25">
      <c r="A154" t="s">
        <v>992</v>
      </c>
      <c r="B154" t="s">
        <v>993</v>
      </c>
      <c r="C154" t="s">
        <v>993</v>
      </c>
      <c r="D154" t="s">
        <v>128</v>
      </c>
      <c r="E154" t="s">
        <v>994</v>
      </c>
      <c r="F154" t="s">
        <v>986</v>
      </c>
    </row>
    <row r="155" spans="1:6" x14ac:dyDescent="0.25">
      <c r="A155" t="s">
        <v>995</v>
      </c>
      <c r="B155" t="s">
        <v>996</v>
      </c>
      <c r="C155" t="s">
        <v>996</v>
      </c>
      <c r="D155" t="s">
        <v>128</v>
      </c>
      <c r="E155" t="s">
        <v>997</v>
      </c>
      <c r="F155" t="s">
        <v>896</v>
      </c>
    </row>
    <row r="156" spans="1:6" x14ac:dyDescent="0.25">
      <c r="A156" t="s">
        <v>998</v>
      </c>
      <c r="B156" t="s">
        <v>999</v>
      </c>
      <c r="C156" t="s">
        <v>999</v>
      </c>
      <c r="D156" t="s">
        <v>673</v>
      </c>
      <c r="E156" t="s">
        <v>1000</v>
      </c>
      <c r="F156" t="s">
        <v>1001</v>
      </c>
    </row>
    <row r="157" spans="1:6" x14ac:dyDescent="0.25">
      <c r="A157" t="s">
        <v>1002</v>
      </c>
      <c r="B157" t="s">
        <v>1003</v>
      </c>
      <c r="C157" t="s">
        <v>1003</v>
      </c>
      <c r="D157" t="s">
        <v>737</v>
      </c>
      <c r="E157" t="s">
        <v>1004</v>
      </c>
      <c r="F157" t="s">
        <v>1001</v>
      </c>
    </row>
  </sheetData>
  <mergeCells count="15">
    <mergeCell ref="AO1:AQ1"/>
    <mergeCell ref="Y1:AA1"/>
    <mergeCell ref="AS1:AU1"/>
    <mergeCell ref="M1:O1"/>
    <mergeCell ref="A3:C3"/>
    <mergeCell ref="Q1:S1"/>
    <mergeCell ref="E1:G1"/>
    <mergeCell ref="AC1:AE1"/>
    <mergeCell ref="AG1:AI1"/>
    <mergeCell ref="A108:C108"/>
    <mergeCell ref="AK1:AM1"/>
    <mergeCell ref="A1:C1"/>
    <mergeCell ref="U1:W1"/>
    <mergeCell ref="A91:C91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"/>
  <sheetViews>
    <sheetView zoomScale="55" zoomScaleNormal="55" workbookViewId="0">
      <selection activeCell="G64" sqref="G64"/>
    </sheetView>
  </sheetViews>
  <sheetFormatPr defaultRowHeight="15" x14ac:dyDescent="0.25"/>
  <cols>
    <col min="1" max="14" width="20" customWidth="1"/>
    <col min="15" max="15" width="46" customWidth="1"/>
    <col min="16" max="16" width="10" customWidth="1"/>
    <col min="17" max="17" width="47" customWidth="1"/>
    <col min="18" max="18" width="27" customWidth="1"/>
    <col min="19" max="19" width="46" customWidth="1"/>
    <col min="20" max="20" width="10" customWidth="1"/>
    <col min="21" max="21" width="50" customWidth="1"/>
    <col min="22" max="22" width="26" customWidth="1"/>
    <col min="23" max="23" width="50" customWidth="1"/>
    <col min="24" max="24" width="10" customWidth="1"/>
    <col min="25" max="25" width="50" customWidth="1"/>
    <col min="26" max="26" width="25" customWidth="1"/>
    <col min="27" max="27" width="50" customWidth="1"/>
  </cols>
  <sheetData>
    <row r="1" spans="1:27" ht="18.75" customHeight="1" x14ac:dyDescent="0.3">
      <c r="A1" s="53" t="s">
        <v>1005</v>
      </c>
      <c r="B1" s="48"/>
      <c r="C1" s="48"/>
      <c r="E1" s="47" t="s">
        <v>1006</v>
      </c>
      <c r="F1" s="48"/>
      <c r="G1" s="48"/>
      <c r="I1" s="47" t="s">
        <v>1007</v>
      </c>
      <c r="J1" s="48"/>
      <c r="K1" s="48"/>
      <c r="M1" s="47" t="s">
        <v>1008</v>
      </c>
      <c r="N1" s="48"/>
      <c r="O1" s="48"/>
      <c r="Q1" s="47" t="s">
        <v>1009</v>
      </c>
      <c r="R1" s="48"/>
      <c r="S1" s="48"/>
      <c r="U1" s="47" t="s">
        <v>1010</v>
      </c>
      <c r="V1" s="48"/>
      <c r="W1" s="48"/>
      <c r="Y1" s="47" t="s">
        <v>1011</v>
      </c>
      <c r="Z1" s="48"/>
      <c r="AA1" s="48"/>
    </row>
    <row r="2" spans="1:27" ht="63.75" customHeight="1" x14ac:dyDescent="0.25">
      <c r="A2" s="24" t="s">
        <v>784</v>
      </c>
      <c r="B2" s="24" t="s">
        <v>785</v>
      </c>
      <c r="C2" s="24" t="s">
        <v>786</v>
      </c>
      <c r="E2" s="1" t="s">
        <v>21</v>
      </c>
      <c r="F2" s="1" t="s">
        <v>22</v>
      </c>
      <c r="G2" s="1" t="s">
        <v>23</v>
      </c>
      <c r="I2" s="1" t="s">
        <v>21</v>
      </c>
      <c r="J2" s="1" t="s">
        <v>22</v>
      </c>
      <c r="K2" s="1" t="s">
        <v>23</v>
      </c>
      <c r="M2" s="1" t="s">
        <v>21</v>
      </c>
      <c r="N2" s="1" t="s">
        <v>22</v>
      </c>
      <c r="O2" s="1" t="s">
        <v>23</v>
      </c>
      <c r="Q2" s="1" t="s">
        <v>21</v>
      </c>
      <c r="R2" s="1" t="s">
        <v>22</v>
      </c>
      <c r="S2" s="1" t="s">
        <v>23</v>
      </c>
      <c r="U2" s="1" t="s">
        <v>21</v>
      </c>
      <c r="V2" s="1" t="s">
        <v>22</v>
      </c>
      <c r="W2" s="1" t="s">
        <v>23</v>
      </c>
      <c r="Y2" s="1" t="s">
        <v>21</v>
      </c>
      <c r="Z2" s="1" t="s">
        <v>22</v>
      </c>
      <c r="AA2" s="1" t="s">
        <v>23</v>
      </c>
    </row>
    <row r="3" spans="1:27" ht="15.75" customHeight="1" x14ac:dyDescent="0.25">
      <c r="A3" s="16" t="s">
        <v>1012</v>
      </c>
      <c r="B3" s="14" t="s">
        <v>1013</v>
      </c>
      <c r="C3" s="14" t="s">
        <v>1014</v>
      </c>
      <c r="E3" s="14" t="s">
        <v>1015</v>
      </c>
      <c r="F3" s="14" t="s">
        <v>1016</v>
      </c>
      <c r="G3" s="14" t="s">
        <v>1017</v>
      </c>
      <c r="I3" s="14" t="s">
        <v>1018</v>
      </c>
      <c r="J3" s="14" t="s">
        <v>1019</v>
      </c>
      <c r="K3" s="2" t="s">
        <v>1020</v>
      </c>
      <c r="M3" s="2" t="s">
        <v>1021</v>
      </c>
      <c r="N3" s="2" t="s">
        <v>1022</v>
      </c>
      <c r="O3" s="2" t="s">
        <v>1023</v>
      </c>
      <c r="Q3" s="2" t="s">
        <v>1024</v>
      </c>
      <c r="R3" s="2" t="s">
        <v>1025</v>
      </c>
      <c r="S3" s="2" t="s">
        <v>1026</v>
      </c>
      <c r="U3" s="2" t="s">
        <v>1027</v>
      </c>
      <c r="V3" s="2" t="s">
        <v>1028</v>
      </c>
      <c r="W3" s="2" t="s">
        <v>1029</v>
      </c>
      <c r="Y3" s="2" t="s">
        <v>1030</v>
      </c>
      <c r="Z3" s="2" t="s">
        <v>1031</v>
      </c>
      <c r="AA3" s="2" t="s">
        <v>1032</v>
      </c>
    </row>
    <row r="4" spans="1:27" x14ac:dyDescent="0.25">
      <c r="A4" s="14" t="s">
        <v>1033</v>
      </c>
      <c r="B4" s="14" t="s">
        <v>1034</v>
      </c>
      <c r="C4" s="14" t="s">
        <v>1035</v>
      </c>
      <c r="D4" s="14" t="s">
        <v>1036</v>
      </c>
      <c r="E4" s="14" t="s">
        <v>1037</v>
      </c>
      <c r="F4" s="14" t="s">
        <v>1038</v>
      </c>
      <c r="G4" s="14" t="s">
        <v>1039</v>
      </c>
      <c r="I4" s="14" t="s">
        <v>1040</v>
      </c>
      <c r="J4" s="14" t="s">
        <v>1041</v>
      </c>
      <c r="K4" s="2" t="s">
        <v>1042</v>
      </c>
      <c r="M4" s="2" t="s">
        <v>1043</v>
      </c>
      <c r="N4" s="2" t="s">
        <v>1044</v>
      </c>
      <c r="O4" s="2" t="s">
        <v>1045</v>
      </c>
      <c r="Q4" s="2" t="s">
        <v>1046</v>
      </c>
      <c r="R4" s="2" t="s">
        <v>1047</v>
      </c>
      <c r="S4" s="2" t="s">
        <v>1048</v>
      </c>
      <c r="U4" s="2" t="s">
        <v>1049</v>
      </c>
      <c r="V4" s="2" t="s">
        <v>1050</v>
      </c>
      <c r="W4" s="2" t="s">
        <v>1051</v>
      </c>
      <c r="Y4" s="2" t="s">
        <v>1052</v>
      </c>
      <c r="Z4" s="2" t="s">
        <v>1053</v>
      </c>
      <c r="AA4" s="2" t="s">
        <v>1054</v>
      </c>
    </row>
    <row r="5" spans="1:27" x14ac:dyDescent="0.25">
      <c r="A5" s="14" t="s">
        <v>1055</v>
      </c>
      <c r="B5" s="18">
        <v>10</v>
      </c>
      <c r="C5" s="14">
        <v>25</v>
      </c>
      <c r="D5" s="17">
        <f t="shared" ref="D5:D12" si="0">B5*C5</f>
        <v>250</v>
      </c>
      <c r="E5" s="14" t="s">
        <v>1056</v>
      </c>
      <c r="F5" s="14" t="s">
        <v>1057</v>
      </c>
      <c r="G5" s="14" t="s">
        <v>1058</v>
      </c>
      <c r="I5" s="14" t="s">
        <v>1059</v>
      </c>
      <c r="J5" s="14" t="s">
        <v>1060</v>
      </c>
      <c r="K5" s="2" t="s">
        <v>1061</v>
      </c>
      <c r="M5" s="2" t="s">
        <v>1062</v>
      </c>
      <c r="N5" s="2" t="s">
        <v>1063</v>
      </c>
      <c r="O5" s="2" t="s">
        <v>1064</v>
      </c>
      <c r="Q5" s="2" t="s">
        <v>1065</v>
      </c>
      <c r="R5" s="2" t="s">
        <v>1066</v>
      </c>
      <c r="S5" s="2" t="s">
        <v>1067</v>
      </c>
      <c r="U5" s="2" t="s">
        <v>1068</v>
      </c>
      <c r="V5" s="2" t="s">
        <v>1069</v>
      </c>
      <c r="W5" s="2" t="s">
        <v>1070</v>
      </c>
      <c r="Y5" s="2" t="s">
        <v>1071</v>
      </c>
      <c r="Z5" s="2" t="s">
        <v>1072</v>
      </c>
      <c r="AA5" s="2" t="s">
        <v>1073</v>
      </c>
    </row>
    <row r="6" spans="1:27" x14ac:dyDescent="0.25">
      <c r="A6" s="14" t="s">
        <v>233</v>
      </c>
      <c r="B6" s="18">
        <v>50</v>
      </c>
      <c r="C6" s="14">
        <v>8</v>
      </c>
      <c r="D6" s="17">
        <f t="shared" si="0"/>
        <v>400</v>
      </c>
      <c r="E6" s="14" t="s">
        <v>1074</v>
      </c>
      <c r="F6" s="14" t="s">
        <v>316</v>
      </c>
      <c r="G6" s="14" t="s">
        <v>1075</v>
      </c>
      <c r="I6" s="14" t="s">
        <v>143</v>
      </c>
      <c r="J6" s="14" t="s">
        <v>144</v>
      </c>
      <c r="K6" s="2" t="s">
        <v>1076</v>
      </c>
      <c r="M6" s="2" t="s">
        <v>1077</v>
      </c>
      <c r="N6" s="2" t="s">
        <v>1078</v>
      </c>
      <c r="O6" s="2" t="s">
        <v>1079</v>
      </c>
      <c r="Q6" s="2" t="s">
        <v>1080</v>
      </c>
      <c r="R6" s="2" t="s">
        <v>1081</v>
      </c>
      <c r="S6" s="2" t="s">
        <v>1082</v>
      </c>
      <c r="U6" s="2" t="s">
        <v>1083</v>
      </c>
      <c r="V6" s="2" t="s">
        <v>1084</v>
      </c>
      <c r="W6" s="2" t="s">
        <v>1085</v>
      </c>
      <c r="Y6" s="2" t="s">
        <v>1086</v>
      </c>
      <c r="Z6" s="2" t="s">
        <v>1087</v>
      </c>
      <c r="AA6" s="2" t="s">
        <v>1088</v>
      </c>
    </row>
    <row r="7" spans="1:27" x14ac:dyDescent="0.25">
      <c r="A7" s="14" t="s">
        <v>1089</v>
      </c>
      <c r="B7" s="18">
        <v>30</v>
      </c>
      <c r="C7" s="14">
        <v>6</v>
      </c>
      <c r="D7" s="17">
        <f t="shared" si="0"/>
        <v>180</v>
      </c>
      <c r="E7" s="14" t="s">
        <v>1090</v>
      </c>
      <c r="F7" s="14" t="s">
        <v>1091</v>
      </c>
      <c r="G7" s="14" t="s">
        <v>1092</v>
      </c>
      <c r="I7" s="14" t="s">
        <v>1093</v>
      </c>
      <c r="J7" s="14" t="s">
        <v>1094</v>
      </c>
      <c r="K7" s="2" t="s">
        <v>1095</v>
      </c>
      <c r="M7" s="2" t="s">
        <v>1096</v>
      </c>
      <c r="N7" s="2" t="s">
        <v>1097</v>
      </c>
      <c r="O7" s="2" t="s">
        <v>1098</v>
      </c>
      <c r="Q7" s="2" t="s">
        <v>1099</v>
      </c>
      <c r="R7" s="2" t="s">
        <v>1100</v>
      </c>
      <c r="S7" s="2" t="s">
        <v>1101</v>
      </c>
      <c r="U7" s="2" t="s">
        <v>1102</v>
      </c>
      <c r="V7" s="2" t="s">
        <v>1103</v>
      </c>
      <c r="W7" s="2" t="s">
        <v>1104</v>
      </c>
      <c r="Y7" s="2" t="s">
        <v>1105</v>
      </c>
      <c r="Z7" s="2" t="s">
        <v>1106</v>
      </c>
      <c r="AA7" s="2" t="s">
        <v>1107</v>
      </c>
    </row>
    <row r="8" spans="1:27" x14ac:dyDescent="0.25">
      <c r="A8" s="14" t="s">
        <v>275</v>
      </c>
      <c r="B8" s="18">
        <v>2</v>
      </c>
      <c r="C8" s="14">
        <v>45</v>
      </c>
      <c r="D8" s="17">
        <f t="shared" si="0"/>
        <v>90</v>
      </c>
      <c r="E8" s="14" t="s">
        <v>1108</v>
      </c>
      <c r="F8" s="14" t="s">
        <v>1109</v>
      </c>
      <c r="G8" s="14" t="s">
        <v>1110</v>
      </c>
      <c r="I8" s="14" t="s">
        <v>1111</v>
      </c>
      <c r="J8" s="14" t="s">
        <v>1112</v>
      </c>
      <c r="K8" s="2" t="s">
        <v>1113</v>
      </c>
      <c r="M8" s="2" t="s">
        <v>1114</v>
      </c>
      <c r="N8" s="2" t="s">
        <v>1115</v>
      </c>
      <c r="O8" s="2" t="s">
        <v>1116</v>
      </c>
      <c r="Q8" s="2" t="s">
        <v>1117</v>
      </c>
      <c r="R8" s="2" t="s">
        <v>1118</v>
      </c>
      <c r="S8" s="2" t="s">
        <v>1119</v>
      </c>
      <c r="U8" s="2" t="s">
        <v>1120</v>
      </c>
      <c r="V8" s="2" t="s">
        <v>1121</v>
      </c>
      <c r="W8" s="2" t="s">
        <v>1122</v>
      </c>
      <c r="Y8" s="2" t="s">
        <v>1123</v>
      </c>
      <c r="Z8" s="2" t="s">
        <v>1124</v>
      </c>
      <c r="AA8" s="2" t="s">
        <v>1125</v>
      </c>
    </row>
    <row r="9" spans="1:27" x14ac:dyDescent="0.25">
      <c r="A9" s="14" t="s">
        <v>1126</v>
      </c>
      <c r="B9" s="18">
        <v>8</v>
      </c>
      <c r="C9" s="14">
        <v>5</v>
      </c>
      <c r="D9" s="17">
        <f t="shared" si="0"/>
        <v>40</v>
      </c>
      <c r="E9" s="14" t="s">
        <v>1127</v>
      </c>
      <c r="F9" s="14" t="s">
        <v>1128</v>
      </c>
      <c r="G9" s="14" t="s">
        <v>1129</v>
      </c>
      <c r="I9" s="14" t="s">
        <v>1130</v>
      </c>
      <c r="J9" s="14" t="s">
        <v>1131</v>
      </c>
      <c r="K9" s="2" t="s">
        <v>1132</v>
      </c>
      <c r="M9" s="2" t="s">
        <v>1133</v>
      </c>
      <c r="N9" s="2" t="s">
        <v>1134</v>
      </c>
      <c r="O9" s="2" t="s">
        <v>1135</v>
      </c>
      <c r="Q9" s="2" t="s">
        <v>1136</v>
      </c>
      <c r="R9" s="2" t="s">
        <v>1137</v>
      </c>
      <c r="S9" s="2" t="s">
        <v>1138</v>
      </c>
      <c r="U9" s="2" t="s">
        <v>1139</v>
      </c>
      <c r="V9" s="2" t="s">
        <v>1140</v>
      </c>
      <c r="W9" s="2" t="s">
        <v>1141</v>
      </c>
      <c r="Y9" s="2" t="s">
        <v>1142</v>
      </c>
      <c r="Z9" s="2" t="s">
        <v>1143</v>
      </c>
      <c r="AA9" s="2" t="s">
        <v>1144</v>
      </c>
    </row>
    <row r="10" spans="1:27" x14ac:dyDescent="0.25">
      <c r="A10" s="14" t="s">
        <v>1145</v>
      </c>
      <c r="B10" s="18">
        <v>100</v>
      </c>
      <c r="C10" s="14">
        <v>1</v>
      </c>
      <c r="D10" s="17">
        <f t="shared" si="0"/>
        <v>100</v>
      </c>
      <c r="E10" s="14" t="s">
        <v>1146</v>
      </c>
      <c r="F10" s="14" t="s">
        <v>1147</v>
      </c>
      <c r="G10" s="14" t="s">
        <v>1148</v>
      </c>
      <c r="I10" s="14" t="s">
        <v>1149</v>
      </c>
      <c r="J10" s="14" t="s">
        <v>1150</v>
      </c>
      <c r="K10" s="2" t="s">
        <v>1151</v>
      </c>
      <c r="M10" s="2" t="s">
        <v>1152</v>
      </c>
      <c r="N10" s="2" t="s">
        <v>1153</v>
      </c>
      <c r="O10" s="2" t="s">
        <v>1154</v>
      </c>
      <c r="U10" s="2" t="s">
        <v>1155</v>
      </c>
      <c r="V10" s="2" t="s">
        <v>1156</v>
      </c>
      <c r="W10" s="2" t="s">
        <v>1157</v>
      </c>
      <c r="Y10" s="2" t="s">
        <v>1158</v>
      </c>
      <c r="Z10" s="2" t="s">
        <v>1159</v>
      </c>
      <c r="AA10" s="2" t="s">
        <v>1160</v>
      </c>
    </row>
    <row r="11" spans="1:27" x14ac:dyDescent="0.25">
      <c r="A11" s="14" t="s">
        <v>1161</v>
      </c>
      <c r="B11" s="18">
        <v>20</v>
      </c>
      <c r="C11" s="14">
        <v>1</v>
      </c>
      <c r="D11" s="17">
        <f t="shared" si="0"/>
        <v>20</v>
      </c>
      <c r="E11" s="14" t="s">
        <v>1162</v>
      </c>
      <c r="F11" s="14" t="s">
        <v>1163</v>
      </c>
      <c r="G11" s="14" t="s">
        <v>1164</v>
      </c>
      <c r="I11" s="14" t="s">
        <v>1165</v>
      </c>
      <c r="J11" s="14" t="s">
        <v>1166</v>
      </c>
      <c r="K11" s="2" t="s">
        <v>1167</v>
      </c>
      <c r="M11" s="2" t="s">
        <v>1168</v>
      </c>
      <c r="N11" s="2" t="s">
        <v>1169</v>
      </c>
      <c r="O11" s="2" t="s">
        <v>1170</v>
      </c>
      <c r="U11" s="2" t="s">
        <v>1171</v>
      </c>
      <c r="V11" s="2" t="s">
        <v>1172</v>
      </c>
      <c r="W11" s="2" t="s">
        <v>1173</v>
      </c>
      <c r="Y11" s="2" t="s">
        <v>1174</v>
      </c>
      <c r="Z11" s="2" t="s">
        <v>1175</v>
      </c>
      <c r="AA11" s="2" t="s">
        <v>1176</v>
      </c>
    </row>
    <row r="12" spans="1:27" x14ac:dyDescent="0.25">
      <c r="A12" s="14" t="s">
        <v>1177</v>
      </c>
      <c r="B12" s="18">
        <v>15</v>
      </c>
      <c r="C12" s="14">
        <v>2</v>
      </c>
      <c r="D12" s="17">
        <f t="shared" si="0"/>
        <v>30</v>
      </c>
      <c r="E12" s="14" t="s">
        <v>1178</v>
      </c>
      <c r="F12" s="14" t="s">
        <v>1179</v>
      </c>
      <c r="G12" s="14" t="s">
        <v>1180</v>
      </c>
      <c r="I12" s="14" t="s">
        <v>1181</v>
      </c>
      <c r="J12" s="14" t="s">
        <v>1182</v>
      </c>
      <c r="K12" s="2" t="s">
        <v>1183</v>
      </c>
      <c r="M12" s="2" t="s">
        <v>1184</v>
      </c>
      <c r="N12" s="2" t="s">
        <v>1185</v>
      </c>
      <c r="O12" s="2" t="s">
        <v>1186</v>
      </c>
      <c r="U12" s="2" t="s">
        <v>1187</v>
      </c>
      <c r="V12" s="2" t="s">
        <v>1188</v>
      </c>
      <c r="W12" s="2" t="s">
        <v>1189</v>
      </c>
      <c r="Y12" s="2" t="s">
        <v>1190</v>
      </c>
      <c r="Z12" s="2" t="s">
        <v>1191</v>
      </c>
      <c r="AA12" s="2" t="s">
        <v>1192</v>
      </c>
    </row>
    <row r="13" spans="1:27" x14ac:dyDescent="0.25">
      <c r="A13" s="14" t="s">
        <v>1193</v>
      </c>
      <c r="B13" s="14" t="s">
        <v>1194</v>
      </c>
      <c r="C13" s="14" t="s">
        <v>1195</v>
      </c>
      <c r="E13" s="14" t="s">
        <v>1196</v>
      </c>
      <c r="F13" s="14" t="s">
        <v>1197</v>
      </c>
      <c r="G13" s="14" t="s">
        <v>1198</v>
      </c>
      <c r="U13" s="2" t="s">
        <v>1199</v>
      </c>
      <c r="V13" s="2" t="s">
        <v>1200</v>
      </c>
      <c r="W13" s="2" t="s">
        <v>1201</v>
      </c>
      <c r="Y13" s="2" t="s">
        <v>1202</v>
      </c>
      <c r="Z13" s="2" t="s">
        <v>1203</v>
      </c>
      <c r="AA13" s="2" t="s">
        <v>1204</v>
      </c>
    </row>
    <row r="14" spans="1:27" x14ac:dyDescent="0.25">
      <c r="A14" s="14" t="s">
        <v>1205</v>
      </c>
      <c r="B14" s="14" t="s">
        <v>1206</v>
      </c>
      <c r="C14" s="14" t="s">
        <v>1207</v>
      </c>
      <c r="D14" s="17">
        <f>SUM(D5:D12)</f>
        <v>1110</v>
      </c>
      <c r="E14" s="14" t="s">
        <v>1208</v>
      </c>
      <c r="F14" s="14" t="s">
        <v>1161</v>
      </c>
      <c r="G14" s="14" t="s">
        <v>1209</v>
      </c>
      <c r="U14" s="2" t="s">
        <v>1210</v>
      </c>
      <c r="V14" s="2" t="s">
        <v>1211</v>
      </c>
      <c r="W14" s="2" t="s">
        <v>1212</v>
      </c>
      <c r="Y14" s="2" t="s">
        <v>1213</v>
      </c>
      <c r="Z14" s="2" t="s">
        <v>1214</v>
      </c>
      <c r="AA14" s="2" t="s">
        <v>1215</v>
      </c>
    </row>
    <row r="15" spans="1:27" x14ac:dyDescent="0.25">
      <c r="A15" s="14" t="s">
        <v>1216</v>
      </c>
      <c r="D15" s="17">
        <f>ROUNDUP(D14/50,0)</f>
        <v>23</v>
      </c>
      <c r="E15" s="14" t="s">
        <v>1217</v>
      </c>
      <c r="F15" s="14" t="s">
        <v>1218</v>
      </c>
      <c r="G15" s="14" t="s">
        <v>1219</v>
      </c>
      <c r="U15" s="2" t="s">
        <v>1220</v>
      </c>
      <c r="V15" s="2" t="s">
        <v>1221</v>
      </c>
      <c r="W15" s="2" t="s">
        <v>1222</v>
      </c>
      <c r="Y15" s="2" t="s">
        <v>1223</v>
      </c>
      <c r="Z15" s="2" t="s">
        <v>1224</v>
      </c>
      <c r="AA15" s="2" t="s">
        <v>1225</v>
      </c>
    </row>
    <row r="16" spans="1:27" x14ac:dyDescent="0.25">
      <c r="E16" s="14" t="s">
        <v>1226</v>
      </c>
      <c r="F16" s="14" t="s">
        <v>1227</v>
      </c>
      <c r="G16" s="14" t="s">
        <v>1228</v>
      </c>
      <c r="U16" s="2" t="s">
        <v>1229</v>
      </c>
      <c r="V16" s="2" t="s">
        <v>1230</v>
      </c>
      <c r="W16" s="2" t="s">
        <v>1231</v>
      </c>
      <c r="Y16" s="2" t="s">
        <v>1232</v>
      </c>
      <c r="Z16" s="2" t="s">
        <v>1233</v>
      </c>
      <c r="AA16" s="2" t="s">
        <v>1234</v>
      </c>
    </row>
    <row r="17" spans="1:27" x14ac:dyDescent="0.25">
      <c r="E17" s="14" t="s">
        <v>1235</v>
      </c>
      <c r="F17" s="14" t="s">
        <v>1236</v>
      </c>
      <c r="G17" s="14" t="s">
        <v>1237</v>
      </c>
      <c r="U17" s="2" t="s">
        <v>1238</v>
      </c>
      <c r="V17" s="2" t="s">
        <v>1239</v>
      </c>
      <c r="W17" s="2" t="s">
        <v>1240</v>
      </c>
      <c r="Y17" s="2" t="s">
        <v>1241</v>
      </c>
      <c r="Z17" s="2" t="s">
        <v>1242</v>
      </c>
      <c r="AA17" s="2" t="s">
        <v>1243</v>
      </c>
    </row>
    <row r="18" spans="1:27" x14ac:dyDescent="0.25">
      <c r="E18" s="14" t="s">
        <v>1244</v>
      </c>
      <c r="F18" s="14" t="s">
        <v>1145</v>
      </c>
      <c r="G18" s="14" t="s">
        <v>1245</v>
      </c>
      <c r="Y18" s="2" t="s">
        <v>1246</v>
      </c>
      <c r="Z18" s="2" t="s">
        <v>1247</v>
      </c>
      <c r="AA18" s="2" t="s">
        <v>1248</v>
      </c>
    </row>
    <row r="19" spans="1:27" x14ac:dyDescent="0.25">
      <c r="E19" s="14" t="s">
        <v>1249</v>
      </c>
      <c r="F19" s="14" t="s">
        <v>1250</v>
      </c>
      <c r="G19" s="14" t="s">
        <v>1251</v>
      </c>
    </row>
    <row r="20" spans="1:27" x14ac:dyDescent="0.25">
      <c r="A20" s="14" t="s">
        <v>1252</v>
      </c>
      <c r="B20" s="14" t="s">
        <v>1253</v>
      </c>
      <c r="C20" s="14" t="s">
        <v>1254</v>
      </c>
      <c r="E20" s="14" t="s">
        <v>1255</v>
      </c>
      <c r="F20" s="14" t="s">
        <v>1256</v>
      </c>
      <c r="G20" s="14" t="s">
        <v>1257</v>
      </c>
    </row>
    <row r="21" spans="1:27" x14ac:dyDescent="0.25">
      <c r="A21" s="14" t="s">
        <v>1258</v>
      </c>
      <c r="B21" s="14" t="s">
        <v>1259</v>
      </c>
      <c r="C21" s="14" t="s">
        <v>1260</v>
      </c>
      <c r="E21" s="14" t="s">
        <v>1261</v>
      </c>
      <c r="F21" s="14" t="s">
        <v>1262</v>
      </c>
      <c r="G21" s="14" t="s">
        <v>1263</v>
      </c>
    </row>
    <row r="22" spans="1:27" x14ac:dyDescent="0.25">
      <c r="A22" s="14" t="s">
        <v>1264</v>
      </c>
      <c r="B22" s="14" t="s">
        <v>1265</v>
      </c>
      <c r="C22" s="14" t="s">
        <v>1266</v>
      </c>
      <c r="E22" s="14" t="s">
        <v>1267</v>
      </c>
      <c r="F22" s="14" t="s">
        <v>1268</v>
      </c>
      <c r="G22" s="14" t="s">
        <v>1269</v>
      </c>
    </row>
    <row r="23" spans="1:27" x14ac:dyDescent="0.25">
      <c r="A23" s="14" t="s">
        <v>1270</v>
      </c>
      <c r="B23" s="14" t="s">
        <v>1271</v>
      </c>
      <c r="C23" s="14" t="s">
        <v>1272</v>
      </c>
    </row>
    <row r="24" spans="1:27" x14ac:dyDescent="0.25">
      <c r="A24" s="14" t="s">
        <v>1273</v>
      </c>
      <c r="B24" s="14" t="s">
        <v>1274</v>
      </c>
      <c r="C24" s="14" t="s">
        <v>1275</v>
      </c>
    </row>
    <row r="25" spans="1:27" x14ac:dyDescent="0.25">
      <c r="A25" s="14" t="s">
        <v>1276</v>
      </c>
      <c r="B25" s="14" t="s">
        <v>1277</v>
      </c>
      <c r="C25" s="14" t="s">
        <v>1278</v>
      </c>
    </row>
    <row r="26" spans="1:27" x14ac:dyDescent="0.25">
      <c r="A26" s="14" t="s">
        <v>1279</v>
      </c>
      <c r="B26" s="14" t="s">
        <v>1161</v>
      </c>
      <c r="C26" s="14" t="s">
        <v>1280</v>
      </c>
    </row>
    <row r="27" spans="1:27" x14ac:dyDescent="0.25">
      <c r="A27" s="14" t="s">
        <v>1281</v>
      </c>
      <c r="B27" s="14" t="s">
        <v>1282</v>
      </c>
      <c r="C27" s="14" t="s">
        <v>1283</v>
      </c>
    </row>
    <row r="28" spans="1:27" x14ac:dyDescent="0.25">
      <c r="A28" s="14" t="s">
        <v>1284</v>
      </c>
      <c r="B28" s="14" t="s">
        <v>1285</v>
      </c>
      <c r="C28" s="14" t="s">
        <v>1286</v>
      </c>
    </row>
    <row r="29" spans="1:27" x14ac:dyDescent="0.25">
      <c r="A29" s="14" t="s">
        <v>1287</v>
      </c>
      <c r="B29" s="14" t="s">
        <v>316</v>
      </c>
      <c r="C29" s="14" t="s">
        <v>1288</v>
      </c>
    </row>
    <row r="30" spans="1:27" x14ac:dyDescent="0.25">
      <c r="A30" s="14" t="s">
        <v>1289</v>
      </c>
      <c r="B30" s="14" t="s">
        <v>1250</v>
      </c>
      <c r="C30" s="14" t="s">
        <v>1251</v>
      </c>
    </row>
    <row r="31" spans="1:27" x14ac:dyDescent="0.25">
      <c r="A31" s="14" t="s">
        <v>1290</v>
      </c>
      <c r="B31" s="14" t="s">
        <v>1291</v>
      </c>
      <c r="C31" s="14" t="s">
        <v>1292</v>
      </c>
    </row>
    <row r="32" spans="1:27" x14ac:dyDescent="0.25">
      <c r="A32" s="14" t="s">
        <v>1293</v>
      </c>
      <c r="B32" s="14" t="s">
        <v>1294</v>
      </c>
      <c r="C32" s="14" t="s">
        <v>1295</v>
      </c>
    </row>
    <row r="33" spans="1:3" x14ac:dyDescent="0.25">
      <c r="A33" s="14" t="s">
        <v>399</v>
      </c>
      <c r="B33" s="14" t="s">
        <v>144</v>
      </c>
      <c r="C33" s="14" t="s">
        <v>1296</v>
      </c>
    </row>
    <row r="34" spans="1:3" x14ac:dyDescent="0.25">
      <c r="A34" s="14" t="s">
        <v>1297</v>
      </c>
      <c r="B34" s="14" t="s">
        <v>1298</v>
      </c>
      <c r="C34" s="14" t="s">
        <v>1299</v>
      </c>
    </row>
    <row r="35" spans="1:3" x14ac:dyDescent="0.25">
      <c r="A35" s="14" t="s">
        <v>1300</v>
      </c>
      <c r="B35" s="14" t="s">
        <v>1301</v>
      </c>
      <c r="C35" s="14" t="s">
        <v>1302</v>
      </c>
    </row>
    <row r="36" spans="1:3" x14ac:dyDescent="0.25">
      <c r="A36" s="14" t="s">
        <v>1303</v>
      </c>
      <c r="B36" s="14" t="s">
        <v>1304</v>
      </c>
      <c r="C36" s="14" t="s">
        <v>1305</v>
      </c>
    </row>
  </sheetData>
  <mergeCells count="7"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topLeftCell="A10" zoomScale="70" zoomScaleNormal="70" workbookViewId="0">
      <selection activeCell="J18" sqref="J18"/>
    </sheetView>
  </sheetViews>
  <sheetFormatPr defaultRowHeight="15" x14ac:dyDescent="0.25"/>
  <cols>
    <col min="1" max="14" width="20" customWidth="1"/>
    <col min="15" max="15" width="26" customWidth="1"/>
  </cols>
  <sheetData>
    <row r="1" spans="1:15" ht="24.95" customHeight="1" x14ac:dyDescent="0.3">
      <c r="A1" s="49" t="s">
        <v>1306</v>
      </c>
      <c r="B1" s="48"/>
      <c r="C1" s="48"/>
      <c r="E1" s="47" t="s">
        <v>1307</v>
      </c>
      <c r="F1" s="48"/>
      <c r="G1" s="48"/>
      <c r="I1" s="47" t="s">
        <v>1308</v>
      </c>
      <c r="J1" s="48"/>
      <c r="K1" s="48"/>
      <c r="M1" s="47" t="s">
        <v>1309</v>
      </c>
      <c r="N1" s="48"/>
      <c r="O1" s="48"/>
    </row>
    <row r="2" spans="1:15" ht="51" customHeight="1" x14ac:dyDescent="0.25">
      <c r="E2" s="1" t="s">
        <v>21</v>
      </c>
      <c r="F2" s="1" t="s">
        <v>22</v>
      </c>
      <c r="G2" s="1" t="s">
        <v>26</v>
      </c>
      <c r="I2" s="1" t="s">
        <v>21</v>
      </c>
      <c r="J2" s="1" t="s">
        <v>22</v>
      </c>
      <c r="K2" s="1" t="s">
        <v>26</v>
      </c>
      <c r="M2" s="1" t="s">
        <v>21</v>
      </c>
      <c r="N2" s="1" t="s">
        <v>22</v>
      </c>
      <c r="O2" s="1" t="s">
        <v>26</v>
      </c>
    </row>
    <row r="3" spans="1:15" ht="15.75" customHeight="1" x14ac:dyDescent="0.25">
      <c r="A3" s="54" t="s">
        <v>1310</v>
      </c>
      <c r="B3" s="51"/>
      <c r="C3" s="52"/>
      <c r="D3" s="16" t="s">
        <v>1311</v>
      </c>
      <c r="E3" s="14" t="s">
        <v>1312</v>
      </c>
      <c r="F3" s="14" t="s">
        <v>1313</v>
      </c>
      <c r="G3" s="14" t="s">
        <v>1314</v>
      </c>
      <c r="I3" s="14" t="s">
        <v>1315</v>
      </c>
      <c r="J3" s="14" t="s">
        <v>1316</v>
      </c>
      <c r="K3" s="2" t="s">
        <v>1317</v>
      </c>
      <c r="M3" s="2" t="s">
        <v>1318</v>
      </c>
      <c r="N3" s="2" t="s">
        <v>1319</v>
      </c>
      <c r="O3" s="2" t="s">
        <v>1320</v>
      </c>
    </row>
    <row r="4" spans="1:15" x14ac:dyDescent="0.25">
      <c r="A4" s="15" t="s">
        <v>1321</v>
      </c>
      <c r="B4" s="22">
        <v>5000</v>
      </c>
      <c r="C4" s="15" t="s">
        <v>26</v>
      </c>
      <c r="D4" s="14" t="s">
        <v>1322</v>
      </c>
      <c r="E4" s="18" t="s">
        <v>1323</v>
      </c>
      <c r="F4" s="14" t="s">
        <v>1324</v>
      </c>
      <c r="G4" s="14" t="s">
        <v>1325</v>
      </c>
      <c r="I4" s="14" t="s">
        <v>1326</v>
      </c>
      <c r="J4" s="14" t="s">
        <v>1327</v>
      </c>
      <c r="K4" s="2" t="s">
        <v>1328</v>
      </c>
      <c r="M4" s="2" t="s">
        <v>1329</v>
      </c>
      <c r="N4" s="2" t="s">
        <v>1330</v>
      </c>
      <c r="O4" s="2" t="s">
        <v>1331</v>
      </c>
    </row>
    <row r="5" spans="1:15" x14ac:dyDescent="0.25">
      <c r="A5" s="14" t="s">
        <v>1332</v>
      </c>
      <c r="B5" s="18">
        <v>3</v>
      </c>
      <c r="C5" s="14" t="s">
        <v>1333</v>
      </c>
      <c r="D5" s="14" t="s">
        <v>1334</v>
      </c>
      <c r="E5" s="18">
        <v>6.1</v>
      </c>
      <c r="F5" s="14" t="s">
        <v>1335</v>
      </c>
      <c r="G5" s="14" t="s">
        <v>1336</v>
      </c>
      <c r="I5" s="14" t="s">
        <v>1337</v>
      </c>
      <c r="J5" s="14" t="s">
        <v>1338</v>
      </c>
      <c r="K5" s="2" t="s">
        <v>1339</v>
      </c>
      <c r="M5" s="2" t="s">
        <v>1340</v>
      </c>
      <c r="N5" s="2" t="s">
        <v>1341</v>
      </c>
      <c r="O5" s="2" t="s">
        <v>1342</v>
      </c>
    </row>
    <row r="6" spans="1:15" x14ac:dyDescent="0.25">
      <c r="A6" s="14" t="s">
        <v>1343</v>
      </c>
      <c r="B6" s="17">
        <f>ROUNDUP((B4*B5)/80,0)</f>
        <v>188</v>
      </c>
      <c r="C6" s="14" t="s">
        <v>1344</v>
      </c>
      <c r="D6" s="14" t="s">
        <v>1345</v>
      </c>
      <c r="E6" s="18">
        <v>140</v>
      </c>
      <c r="F6" s="14" t="s">
        <v>1346</v>
      </c>
      <c r="G6" s="14" t="s">
        <v>1347</v>
      </c>
      <c r="I6" s="14" t="s">
        <v>1348</v>
      </c>
      <c r="J6" s="14" t="s">
        <v>1349</v>
      </c>
      <c r="K6" s="2" t="s">
        <v>1350</v>
      </c>
      <c r="M6" s="2" t="s">
        <v>1351</v>
      </c>
      <c r="N6" s="2" t="s">
        <v>1352</v>
      </c>
      <c r="O6" s="2" t="s">
        <v>1353</v>
      </c>
    </row>
    <row r="7" spans="1:15" x14ac:dyDescent="0.25">
      <c r="A7" s="14" t="s">
        <v>1354</v>
      </c>
      <c r="B7" s="17">
        <f>ROUNDUP((B4*B5)/120,0)</f>
        <v>125</v>
      </c>
      <c r="C7" s="14" t="s">
        <v>1355</v>
      </c>
      <c r="D7" s="14" t="s">
        <v>1356</v>
      </c>
      <c r="E7" s="18">
        <v>4.5999999999999996</v>
      </c>
      <c r="F7" s="14" t="s">
        <v>1357</v>
      </c>
      <c r="G7" s="14" t="s">
        <v>1358</v>
      </c>
      <c r="I7" s="14" t="s">
        <v>1359</v>
      </c>
      <c r="J7" s="14" t="s">
        <v>1360</v>
      </c>
      <c r="K7" s="2" t="s">
        <v>1339</v>
      </c>
      <c r="M7" s="2" t="s">
        <v>1361</v>
      </c>
      <c r="N7" s="2" t="s">
        <v>1362</v>
      </c>
      <c r="O7" s="2" t="s">
        <v>1363</v>
      </c>
    </row>
    <row r="8" spans="1:15" x14ac:dyDescent="0.25">
      <c r="A8" s="14" t="s">
        <v>1364</v>
      </c>
      <c r="B8" s="17">
        <f>ROUNDUP((B4*B5)/400,0)</f>
        <v>38</v>
      </c>
      <c r="C8" s="14" t="s">
        <v>1365</v>
      </c>
      <c r="D8" s="14" t="s">
        <v>1366</v>
      </c>
      <c r="E8" s="17">
        <f>E5*E6</f>
        <v>854</v>
      </c>
      <c r="F8" s="14" t="s">
        <v>1367</v>
      </c>
      <c r="G8" s="14" t="s">
        <v>1368</v>
      </c>
      <c r="I8" s="14" t="s">
        <v>1369</v>
      </c>
      <c r="J8" s="14" t="s">
        <v>1370</v>
      </c>
      <c r="K8" s="2" t="s">
        <v>1371</v>
      </c>
      <c r="M8" s="2" t="s">
        <v>1372</v>
      </c>
      <c r="N8" s="2" t="s">
        <v>1373</v>
      </c>
      <c r="O8" s="2" t="s">
        <v>1374</v>
      </c>
    </row>
    <row r="9" spans="1:15" x14ac:dyDescent="0.25">
      <c r="A9" s="14" t="s">
        <v>1375</v>
      </c>
      <c r="B9" s="17">
        <f>ROUNDUP((B4*B5)/200,0)</f>
        <v>75</v>
      </c>
      <c r="C9" s="14" t="s">
        <v>1376</v>
      </c>
      <c r="D9" s="14" t="s">
        <v>1377</v>
      </c>
      <c r="E9" s="17">
        <f>ROUNDUP(E6/(E7*E7),0)</f>
        <v>7</v>
      </c>
      <c r="I9" s="14" t="s">
        <v>1378</v>
      </c>
      <c r="J9" s="14" t="s">
        <v>1379</v>
      </c>
      <c r="K9" s="2" t="s">
        <v>1380</v>
      </c>
      <c r="M9" s="2" t="s">
        <v>1381</v>
      </c>
      <c r="N9" s="2" t="s">
        <v>1382</v>
      </c>
      <c r="O9" s="2" t="s">
        <v>1383</v>
      </c>
    </row>
    <row r="10" spans="1:15" x14ac:dyDescent="0.25">
      <c r="A10" s="14" t="s">
        <v>1384</v>
      </c>
      <c r="B10" s="17">
        <f>B6+B7+B8+B9</f>
        <v>426</v>
      </c>
      <c r="C10" s="14" t="s">
        <v>1385</v>
      </c>
      <c r="I10" s="14" t="s">
        <v>1386</v>
      </c>
      <c r="J10" s="14" t="s">
        <v>1387</v>
      </c>
      <c r="K10" s="2" t="s">
        <v>1388</v>
      </c>
      <c r="M10" s="2" t="s">
        <v>1389</v>
      </c>
      <c r="N10" s="2" t="s">
        <v>1390</v>
      </c>
      <c r="O10" s="2" t="s">
        <v>1391</v>
      </c>
    </row>
    <row r="11" spans="1:15" x14ac:dyDescent="0.25">
      <c r="A11" s="14" t="s">
        <v>1392</v>
      </c>
      <c r="B11" s="14" t="s">
        <v>1393</v>
      </c>
      <c r="C11" s="14" t="s">
        <v>1394</v>
      </c>
      <c r="I11" s="14" t="s">
        <v>1395</v>
      </c>
      <c r="J11" s="14" t="s">
        <v>1396</v>
      </c>
      <c r="K11" s="2" t="s">
        <v>1397</v>
      </c>
      <c r="M11" s="2" t="s">
        <v>1168</v>
      </c>
      <c r="N11" s="2" t="s">
        <v>1398</v>
      </c>
      <c r="O11" s="2" t="s">
        <v>1399</v>
      </c>
    </row>
    <row r="12" spans="1:15" x14ac:dyDescent="0.25">
      <c r="A12" s="14" t="s">
        <v>1400</v>
      </c>
      <c r="B12" s="14" t="s">
        <v>1401</v>
      </c>
      <c r="C12" s="14" t="s">
        <v>1402</v>
      </c>
      <c r="I12" s="14" t="s">
        <v>1403</v>
      </c>
      <c r="J12" s="14" t="s">
        <v>1404</v>
      </c>
      <c r="K12" s="2" t="s">
        <v>1339</v>
      </c>
      <c r="M12" s="2" t="s">
        <v>1405</v>
      </c>
      <c r="N12" s="2" t="s">
        <v>1406</v>
      </c>
      <c r="O12" s="2" t="s">
        <v>1407</v>
      </c>
    </row>
    <row r="13" spans="1:15" x14ac:dyDescent="0.25">
      <c r="A13" s="14" t="s">
        <v>1408</v>
      </c>
      <c r="B13" s="14" t="s">
        <v>1409</v>
      </c>
      <c r="C13" s="14" t="s">
        <v>1410</v>
      </c>
    </row>
    <row r="14" spans="1:15" x14ac:dyDescent="0.25">
      <c r="A14" s="14" t="s">
        <v>1411</v>
      </c>
      <c r="B14" s="14" t="s">
        <v>1412</v>
      </c>
      <c r="C14" s="14" t="s">
        <v>1413</v>
      </c>
    </row>
    <row r="15" spans="1:15" x14ac:dyDescent="0.25">
      <c r="A15" s="14" t="s">
        <v>1414</v>
      </c>
      <c r="B15" s="14" t="s">
        <v>1415</v>
      </c>
      <c r="C15" s="14" t="s">
        <v>1416</v>
      </c>
    </row>
    <row r="16" spans="1:15" x14ac:dyDescent="0.25">
      <c r="A16" s="14" t="s">
        <v>1417</v>
      </c>
      <c r="B16" s="14" t="s">
        <v>1418</v>
      </c>
      <c r="C16" s="14" t="s">
        <v>1419</v>
      </c>
    </row>
    <row r="17" spans="1:3" x14ac:dyDescent="0.25">
      <c r="A17" s="14" t="s">
        <v>1420</v>
      </c>
      <c r="B17" s="14" t="s">
        <v>1421</v>
      </c>
      <c r="C17" s="14" t="s">
        <v>1422</v>
      </c>
    </row>
    <row r="18" spans="1:3" x14ac:dyDescent="0.25">
      <c r="A18" s="14" t="s">
        <v>1423</v>
      </c>
      <c r="B18" s="14" t="s">
        <v>1424</v>
      </c>
      <c r="C18" s="14" t="s">
        <v>1339</v>
      </c>
    </row>
    <row r="19" spans="1:3" x14ac:dyDescent="0.25">
      <c r="A19" s="14" t="s">
        <v>1425</v>
      </c>
      <c r="B19" s="14" t="s">
        <v>1426</v>
      </c>
      <c r="C19" s="14" t="s">
        <v>1427</v>
      </c>
    </row>
    <row r="20" spans="1:3" x14ac:dyDescent="0.25">
      <c r="A20" s="14" t="s">
        <v>1428</v>
      </c>
      <c r="B20" s="14" t="s">
        <v>1429</v>
      </c>
      <c r="C20" s="14" t="s">
        <v>1430</v>
      </c>
    </row>
    <row r="21" spans="1:3" x14ac:dyDescent="0.25">
      <c r="A21" s="14" t="s">
        <v>63</v>
      </c>
      <c r="B21" s="14" t="s">
        <v>1431</v>
      </c>
      <c r="C21" s="14" t="s">
        <v>1432</v>
      </c>
    </row>
    <row r="24" spans="1:3" x14ac:dyDescent="0.25">
      <c r="A24" s="23" t="s">
        <v>1433</v>
      </c>
    </row>
    <row r="25" spans="1:3" x14ac:dyDescent="0.25">
      <c r="A25" s="14" t="s">
        <v>784</v>
      </c>
      <c r="B25" s="14" t="s">
        <v>785</v>
      </c>
      <c r="C25" s="14" t="s">
        <v>786</v>
      </c>
    </row>
    <row r="26" spans="1:3" x14ac:dyDescent="0.25">
      <c r="A26" s="14" t="s">
        <v>1434</v>
      </c>
      <c r="B26" s="14" t="s">
        <v>1435</v>
      </c>
      <c r="C26" s="14" t="s">
        <v>1436</v>
      </c>
    </row>
    <row r="27" spans="1:3" x14ac:dyDescent="0.25">
      <c r="A27" s="14" t="s">
        <v>1437</v>
      </c>
      <c r="B27" s="14" t="s">
        <v>1438</v>
      </c>
      <c r="C27" s="14" t="s">
        <v>1439</v>
      </c>
    </row>
    <row r="28" spans="1:3" x14ac:dyDescent="0.25">
      <c r="A28" s="14" t="s">
        <v>1440</v>
      </c>
      <c r="B28" s="14" t="s">
        <v>1441</v>
      </c>
      <c r="C28" s="14" t="s">
        <v>1442</v>
      </c>
    </row>
    <row r="29" spans="1:3" x14ac:dyDescent="0.25">
      <c r="A29" s="14" t="s">
        <v>1443</v>
      </c>
      <c r="B29" s="14" t="s">
        <v>1444</v>
      </c>
      <c r="C29" s="14" t="s">
        <v>1445</v>
      </c>
    </row>
    <row r="30" spans="1:3" x14ac:dyDescent="0.25">
      <c r="A30" s="14" t="s">
        <v>1446</v>
      </c>
      <c r="B30" s="14" t="s">
        <v>1447</v>
      </c>
      <c r="C30" s="14" t="s">
        <v>1448</v>
      </c>
    </row>
    <row r="31" spans="1:3" x14ac:dyDescent="0.25">
      <c r="A31" s="14" t="s">
        <v>1449</v>
      </c>
      <c r="B31" s="14" t="s">
        <v>1450</v>
      </c>
      <c r="C31" s="14" t="s">
        <v>1451</v>
      </c>
    </row>
    <row r="32" spans="1:3" x14ac:dyDescent="0.25">
      <c r="A32" s="11"/>
    </row>
    <row r="33" spans="1:3" x14ac:dyDescent="0.25">
      <c r="A33" s="23" t="s">
        <v>1452</v>
      </c>
    </row>
    <row r="34" spans="1:3" x14ac:dyDescent="0.25">
      <c r="A34" s="14" t="s">
        <v>784</v>
      </c>
      <c r="B34" s="14" t="s">
        <v>785</v>
      </c>
      <c r="C34" s="14" t="s">
        <v>786</v>
      </c>
    </row>
    <row r="35" spans="1:3" x14ac:dyDescent="0.25">
      <c r="A35" s="14" t="s">
        <v>1453</v>
      </c>
      <c r="B35" s="14" t="s">
        <v>1454</v>
      </c>
      <c r="C35" s="14" t="s">
        <v>1455</v>
      </c>
    </row>
    <row r="36" spans="1:3" x14ac:dyDescent="0.25">
      <c r="A36" s="14" t="s">
        <v>1456</v>
      </c>
      <c r="B36" s="14" t="s">
        <v>1457</v>
      </c>
      <c r="C36" s="14" t="s">
        <v>1458</v>
      </c>
    </row>
    <row r="37" spans="1:3" x14ac:dyDescent="0.25">
      <c r="A37" s="14" t="s">
        <v>1459</v>
      </c>
      <c r="B37" s="14" t="s">
        <v>1460</v>
      </c>
      <c r="C37" s="14" t="s">
        <v>1461</v>
      </c>
    </row>
    <row r="38" spans="1:3" x14ac:dyDescent="0.25">
      <c r="A38" s="14" t="s">
        <v>1462</v>
      </c>
      <c r="B38" s="14" t="s">
        <v>1463</v>
      </c>
      <c r="C38" s="14" t="s">
        <v>1464</v>
      </c>
    </row>
    <row r="39" spans="1:3" x14ac:dyDescent="0.25">
      <c r="A39" s="14" t="s">
        <v>1465</v>
      </c>
      <c r="B39" s="14" t="s">
        <v>1466</v>
      </c>
      <c r="C39" s="14" t="s">
        <v>1467</v>
      </c>
    </row>
    <row r="40" spans="1:3" x14ac:dyDescent="0.25">
      <c r="A40" s="14" t="s">
        <v>1468</v>
      </c>
      <c r="B40" s="14" t="s">
        <v>1469</v>
      </c>
      <c r="C40" s="14" t="s">
        <v>1470</v>
      </c>
    </row>
    <row r="41" spans="1:3" x14ac:dyDescent="0.25">
      <c r="A41" s="11"/>
    </row>
    <row r="42" spans="1:3" x14ac:dyDescent="0.25">
      <c r="A42" s="23" t="s">
        <v>1471</v>
      </c>
    </row>
    <row r="43" spans="1:3" x14ac:dyDescent="0.25">
      <c r="A43" s="14" t="s">
        <v>784</v>
      </c>
      <c r="B43" s="14" t="s">
        <v>785</v>
      </c>
      <c r="C43" s="14" t="s">
        <v>786</v>
      </c>
    </row>
    <row r="44" spans="1:3" x14ac:dyDescent="0.25">
      <c r="A44" s="14" t="s">
        <v>1472</v>
      </c>
      <c r="B44" s="14" t="s">
        <v>1473</v>
      </c>
      <c r="C44" s="14" t="s">
        <v>1474</v>
      </c>
    </row>
    <row r="45" spans="1:3" x14ac:dyDescent="0.25">
      <c r="A45" s="14" t="s">
        <v>1475</v>
      </c>
      <c r="B45" s="14" t="s">
        <v>1476</v>
      </c>
      <c r="C45" s="14" t="s">
        <v>1477</v>
      </c>
    </row>
    <row r="46" spans="1:3" x14ac:dyDescent="0.25">
      <c r="A46" s="14" t="s">
        <v>1478</v>
      </c>
      <c r="B46" s="14" t="s">
        <v>1479</v>
      </c>
      <c r="C46" s="14" t="s">
        <v>1480</v>
      </c>
    </row>
    <row r="47" spans="1:3" x14ac:dyDescent="0.25">
      <c r="A47" s="14" t="s">
        <v>1481</v>
      </c>
      <c r="B47" s="14" t="s">
        <v>1482</v>
      </c>
      <c r="C47" s="14" t="s">
        <v>1483</v>
      </c>
    </row>
  </sheetData>
  <mergeCells count="5">
    <mergeCell ref="A1:C1"/>
    <mergeCell ref="I1:K1"/>
    <mergeCell ref="M1:O1"/>
    <mergeCell ref="A3:C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ISO 16484-MECHANICAL</vt:lpstr>
      <vt:lpstr>BMS CONTROLS DATA, TELE</vt:lpstr>
      <vt:lpstr>FIRE PROTECTION-NFPA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MEP Standards Codes and Formulae</dc:title>
  <dc:subject>MEP Engineering Standards</dc:subject>
  <dc:creator>Author</dc:creator>
  <cp:keywords>MEP, Mechanical, Electrical, Plumbing, Standards, Formulas, Uganda, IEC, ISO, NFPA, ASHRAE</cp:keywords>
  <dc:description>Comprehensive MEP (Mechanical, Electrical, Plumbing) standards, codes, formulas and Uganda-specific requirements</dc:description>
  <cp:lastModifiedBy>Sting Davis</cp:lastModifiedBy>
  <dcterms:created xsi:type="dcterms:W3CDTF">2025-11-09T15:35:41Z</dcterms:created>
  <dcterms:modified xsi:type="dcterms:W3CDTF">2025-11-14T11:00:26Z</dcterms:modified>
</cp:coreProperties>
</file>